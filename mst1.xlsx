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OptimalCAT-2.2-windows\ocat-engine\data\"/>
    </mc:Choice>
  </mc:AlternateContent>
  <xr:revisionPtr revIDLastSave="0" documentId="13_ncr:1_{CC7EB5B2-EC8E-4305-8F96-27234D952A77}" xr6:coauthVersionLast="47" xr6:coauthVersionMax="47" xr10:uidLastSave="{00000000-0000-0000-0000-000000000000}"/>
  <bookViews>
    <workbookView xWindow="-108" yWindow="-108" windowWidth="23256" windowHeight="12456" tabRatio="684" activeTab="1" xr2:uid="{00000000-000D-0000-FFFF-FFFF00000000}"/>
  </bookViews>
  <sheets>
    <sheet name="Item Bank" sheetId="3" r:id="rId1"/>
    <sheet name="Test Section Design" sheetId="2" r:id="rId2"/>
    <sheet name="A" sheetId="5" r:id="rId3"/>
    <sheet name="B" sheetId="11" r:id="rId4"/>
    <sheet name="C" sheetId="12" r:id="rId5"/>
    <sheet name="D" sheetId="13" r:id="rId6"/>
    <sheet name="Test Settings" sheetId="7" r:id="rId7"/>
  </sheets>
  <definedNames>
    <definedName name="_xlnm._FilterDatabase" localSheetId="0" hidden="1">'Item Bank'!$A$1:$N$1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1" i="3" l="1"/>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6F40D244-027D-4809-A493-312F02A24DD1}">
      <text>
        <r>
          <rPr>
            <sz val="9"/>
            <color indexed="81"/>
            <rFont val="Tahoma"/>
            <family val="2"/>
          </rPr>
          <t>Item ID
No space is allowed in Item ID.
All yellow highlighted columns are reserved and must exist in the Excel file.</t>
        </r>
      </text>
    </comment>
    <comment ref="B1" authorId="0" shapeId="0" xr:uid="{108AC3E4-E484-4099-94DE-B29F542982EA}">
      <text>
        <r>
          <rPr>
            <sz val="9"/>
            <color indexed="81"/>
            <rFont val="Tahoma"/>
            <family val="2"/>
          </rPr>
          <t xml:space="preserve">Stimulus ID (typically passage ID)
No space is allowed in Stimulus ID.
Each item can only be associated with at most one stimulus.
</t>
        </r>
      </text>
    </comment>
    <comment ref="C1" authorId="0" shapeId="0" xr:uid="{62B8C713-4663-4669-B4E9-924C62DAE890}">
      <text>
        <r>
          <rPr>
            <sz val="9"/>
            <color indexed="81"/>
            <rFont val="Tahoma"/>
            <family val="2"/>
          </rPr>
          <t>list the enemy item IDs, use comma (,) or semicolon (;) or space ( ) to separate the IDs, e.g., 
I1, I2, I3</t>
        </r>
      </text>
    </comment>
    <comment ref="D1" authorId="0" shapeId="0" xr:uid="{766ECC01-E92B-4268-BB8E-AD48DCE510AA}">
      <text>
        <r>
          <rPr>
            <sz val="9"/>
            <color indexed="81"/>
            <rFont val="Tahoma"/>
            <family val="2"/>
          </rPr>
          <t xml:space="preserve">Item Status:
OP - operational item, IRT parameters are required
FT - field test item, IRT parameters are not required and will be ignored by the CAT algorithm
any other status you name it, e.g., Direction (DIR), Resource (RES), Do Not Use (DNU), etc - all are treated as non-scorable and no IRT parameters are required   
* Notice: If an item cannot be scored in real-time during a live CAT test (e.g., hand-scored items), you pass item score as -1 to the CAT engine to continue the CAT test. For those items, you still need to provide appropriate IRT parameters in this sheet for appropriate item selection during CAT. 
</t>
        </r>
      </text>
    </comment>
    <comment ref="E1" authorId="0" shapeId="0" xr:uid="{76974A50-8C29-4C96-A19E-DCD6DD2BB53B}">
      <text>
        <r>
          <rPr>
            <sz val="9"/>
            <color indexed="81"/>
            <rFont val="Tahoma"/>
            <family val="2"/>
          </rPr>
          <t xml:space="preserve">Max Points of the item
The possible score points are assumed to be 0, 1, … MAX POINTS. The number of score categories (NCAT) is assumed to be MAX POINTS + 1. 
* Notice: If your first score category is 1 and the the possible score points are 1, 2, …, NCAT, then you need to adjust the item scores by -1 before calling the CAT engine. 
</t>
        </r>
      </text>
    </comment>
    <comment ref="F1" authorId="0" shapeId="0" xr:uid="{73F1C269-5ECF-4B66-93AE-6D6984BFDE6B}">
      <text>
        <r>
          <rPr>
            <sz val="9"/>
            <color indexed="81"/>
            <rFont val="Tahoma"/>
            <charset val="1"/>
          </rPr>
          <t xml:space="preserve">Supported MODEL:
1PL
2PL
3PL
GPCM - This version of the Generalized Partial Credit Model (GPCM) uses a discrimination parameter (a), a difficulty parameter (b), and one or more threshold parameters. For an item with m categories, there are m-1 threshold parameters. 
GRM - This version of Graded Response Model (GRM) uses a discrimination parameter (a), a difficulty parameter (b), and one or more threshold parameters. For an item with m categories, there are m-1 threshold parameters.
* see Optimal CAT manual, "Appendix II. Optimal CAT engine IRT models and parameterization" for more details
</t>
        </r>
      </text>
    </comment>
    <comment ref="G1" authorId="0" shapeId="0" xr:uid="{05C17CEA-109B-424D-9258-9C8A6ADBBCD5}">
      <text>
        <r>
          <rPr>
            <sz val="9"/>
            <color indexed="81"/>
            <rFont val="Tahoma"/>
            <family val="2"/>
          </rPr>
          <t xml:space="preserve">IRT Model scaling constant
</t>
        </r>
      </text>
    </comment>
    <comment ref="H1" authorId="0" shapeId="0" xr:uid="{67C25530-5452-496F-91B6-6B9659997FD9}">
      <text>
        <r>
          <rPr>
            <sz val="9"/>
            <color indexed="81"/>
            <rFont val="Tahoma"/>
            <family val="2"/>
          </rPr>
          <t xml:space="preserve">IRT model A (discrimination) parameter </t>
        </r>
      </text>
    </comment>
    <comment ref="I1" authorId="0" shapeId="0" xr:uid="{5164F9AD-92C4-4269-87C2-9BE8AEABADF7}">
      <text>
        <r>
          <rPr>
            <sz val="9"/>
            <color indexed="81"/>
            <rFont val="Tahoma"/>
            <family val="2"/>
          </rPr>
          <t xml:space="preserve">IRT model B (difficulty) parameter </t>
        </r>
      </text>
    </comment>
    <comment ref="J1" authorId="0" shapeId="0" xr:uid="{1C2AD2AA-20DC-4DE8-A8A6-DD8E347F930F}">
      <text>
        <r>
          <rPr>
            <sz val="9"/>
            <color indexed="81"/>
            <rFont val="Tahoma"/>
            <family val="2"/>
          </rPr>
          <t xml:space="preserve">IRT model C (guessing) parameter </t>
        </r>
      </text>
    </comment>
    <comment ref="K1" authorId="0" shapeId="0" xr:uid="{286E9142-DB14-43F2-A194-B6D2E78ABFEC}">
      <text>
        <r>
          <rPr>
            <sz val="9"/>
            <color indexed="81"/>
            <rFont val="Tahoma"/>
            <family val="2"/>
          </rPr>
          <t xml:space="preserve">D1, D2, D3…
threshold parameters for GPCM and GRM models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9A0C3CCE-F545-4110-A869-E57DE86E77F4}">
      <text>
        <r>
          <rPr>
            <sz val="9"/>
            <color indexed="81"/>
            <rFont val="Tahoma"/>
            <family val="2"/>
          </rPr>
          <t xml:space="preserve">Section Name, use any string, no space allowed, case insensitive. 
(START) and (END) are two system reserved dummy sections, representing the start point and end point of the test. 
Each section name should have a corresponding sheet with the same name, for example, if you define a section with name "ABC", there should be a corresponding sheet named as either "ABC" or "Section ABC". </t>
        </r>
      </text>
    </comment>
    <comment ref="B1" authorId="0" shapeId="0" xr:uid="{B54B922A-FDD9-4471-A88A-908B12725365}">
      <text>
        <r>
          <rPr>
            <sz val="9"/>
            <color indexed="81"/>
            <rFont val="Tahoma"/>
            <family val="2"/>
          </rPr>
          <t xml:space="preserve">defines the criteria for routing to the next section, either based on specified prabability or based on the TEST or SECTION theta or theta SE (standard error) evaluated at the end of the section. 
Use one of the following options:
          (blank)                              -  alway route to the specified section
          RANDOM probability             -  route to the section with the specified probability, for example,
                            RANDOM 0.8       
                   means routing to the section with 80% of chance. 
          TEST THETA range             -  use the TEST theta (all items administered in the test so far) to route
          TEST THETA_SE range        -  use the TEST theta standard error (all items administered in the test so far) to route
          SECTION THETA range        -  use the SECTION theta (only the items administered in the current section) to route
          SECTION THETA_SE range   -  use the SECTION theta standard error (only the items administered in the current section) to route
                   where "range" is the lower and upper boundary with parenthesis bracket (exclusive) or square bracket (inclusive), for example, 
                            TEST THETA [-6, 0.5) 
                   means using the TEST theta range from -6 (inclusive) to 0.5 (exclusive).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FDDB0AC8-272E-4E95-AD2E-25732F6860AC}">
      <text>
        <r>
          <rPr>
            <sz val="9"/>
            <color indexed="81"/>
            <rFont val="Tahoma"/>
            <family val="2"/>
          </rPr>
          <t xml:space="preserve">CONSTRAINT ID, any unique string, no space allowed
</t>
        </r>
      </text>
    </comment>
    <comment ref="D1" authorId="0" shapeId="0" xr:uid="{84D6C21C-A48E-477F-8CA9-410B7E0382A9}">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0C522C56-4CEE-48CD-BA61-D76509C85644}">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F0ED1D62-4D7C-4316-A507-48222AA48091}">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17548A83-6B13-441A-BD6A-EA3EB812233F}">
      <text>
        <r>
          <rPr>
            <sz val="9"/>
            <color indexed="81"/>
            <rFont val="Tahoma"/>
            <family val="2"/>
          </rPr>
          <t xml:space="preserve">CONSTRAINT types:
NUMBER
SUM
AVERAGE
ALL_OR_NONE
EXCLUDE
INCLUDE
ENEMY
* for APPLY=STM_TIM, only NUMBER is supported
</t>
        </r>
      </text>
    </comment>
    <comment ref="H1" authorId="0" shapeId="0" xr:uid="{32EE2248-9390-4F28-A694-F8609D2EFA27}">
      <text>
        <r>
          <rPr>
            <sz val="9"/>
            <color indexed="81"/>
            <rFont val="Tahoma"/>
            <family val="2"/>
          </rPr>
          <t>Additional column name for SUM and AVERAGE constraint defintion</t>
        </r>
      </text>
    </comment>
    <comment ref="I1" authorId="0" shapeId="0" xr:uid="{BCFF6027-8690-497B-8071-CAA8DDD4CAA8}">
      <text>
        <r>
          <rPr>
            <sz val="9"/>
            <color indexed="81"/>
            <rFont val="Tahoma"/>
            <family val="2"/>
          </rPr>
          <t>Lower Bound</t>
        </r>
      </text>
    </comment>
    <comment ref="J1" authorId="0" shapeId="0" xr:uid="{01DFB224-BEE8-435B-904F-73C12280E7F5}">
      <text>
        <r>
          <rPr>
            <sz val="9"/>
            <color indexed="81"/>
            <rFont val="Tahoma"/>
            <family val="2"/>
          </rPr>
          <t>Upper Bound</t>
        </r>
      </text>
    </comment>
    <comment ref="K1" authorId="0" shapeId="0" xr:uid="{05494B55-CE4D-47C7-8D3E-76A8A9CCAB29}">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947B46C2-8E42-4876-8FF8-C72D23EC93E7}">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A4C00EC1-ED1F-4E47-9C7C-2DA20AE40803}">
      <text>
        <r>
          <rPr>
            <sz val="9"/>
            <color indexed="81"/>
            <rFont val="Tahoma"/>
            <family val="2"/>
          </rPr>
          <t xml:space="preserve">filter items/stimuli for current section
</t>
        </r>
      </text>
    </comment>
    <comment ref="A3" authorId="0" shapeId="0" xr:uid="{A440EC68-F9E5-42F5-A69B-B7F8CD5B531B}">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 ref="A4" authorId="0" shapeId="0" xr:uid="{804E8FBB-48EA-4D34-943F-C425392D3C32}">
      <text>
        <r>
          <rPr>
            <sz val="9"/>
            <color indexed="81"/>
            <rFont val="Tahoma"/>
            <family val="2"/>
          </rPr>
          <t xml:space="preserve">Section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5" authorId="1" shapeId="0" xr:uid="{302FBBA2-301B-43E1-A42E-D7402B5265A9}">
      <text>
        <r>
          <rPr>
            <sz val="9"/>
            <color indexed="81"/>
            <rFont val="Tahoma"/>
            <family val="2"/>
          </rPr>
          <t>The minimal number of OP items to administer before Section Termination Rules (SE and CT) could be applied to terminate the section.
Default (leave blank) is 0</t>
        </r>
      </text>
    </comment>
    <comment ref="A6" authorId="1" shapeId="0" xr:uid="{AF15FC6B-301F-4497-8CEF-315DFBDF80C9}">
      <text>
        <r>
          <rPr>
            <sz val="9"/>
            <color indexed="81"/>
            <rFont val="Tahoma"/>
            <family val="2"/>
          </rPr>
          <t xml:space="preserve">This is for variable test length CAT. Terminate section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7" authorId="1" shapeId="0" xr:uid="{BD9BD9D6-C0D2-441D-A626-D6A15EEE07FB}">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 ref="A8" authorId="1" shapeId="0" xr:uid="{351D790C-2C2B-49E9-A074-2F1BDCCC5019}">
      <text>
        <r>
          <rPr>
            <sz val="9"/>
            <color indexed="81"/>
            <rFont val="Tahoma"/>
            <family val="2"/>
          </rPr>
          <t xml:space="preserve">This is for variable test length CAT. Terminate section when </t>
        </r>
        <r>
          <rPr>
            <b/>
            <sz val="9"/>
            <color indexed="81"/>
            <rFont val="Tahoma"/>
            <family val="2"/>
          </rPr>
          <t>Section</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9" authorId="1" shapeId="0" xr:uid="{B8968C48-C560-427A-8F77-1A2195EF702E}">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Section</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0D1715CD-8823-483C-A4A8-61767212B049}">
      <text>
        <r>
          <rPr>
            <sz val="9"/>
            <color indexed="81"/>
            <rFont val="Tahoma"/>
            <family val="2"/>
          </rPr>
          <t xml:space="preserve">CONSTRAINT ID, any unique string, no space allowed
</t>
        </r>
      </text>
    </comment>
    <comment ref="D1" authorId="0" shapeId="0" xr:uid="{11BE6E15-9E94-4476-8932-8FBD2B57738D}">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6BC306FE-AC4B-4990-AA71-6E914CF7D139}">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098106B7-52E6-4D7B-8DC6-932B4D1C030F}">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20EEBBF5-318F-4939-8887-4C09CCA27495}">
      <text>
        <r>
          <rPr>
            <sz val="9"/>
            <color indexed="81"/>
            <rFont val="Tahoma"/>
            <family val="2"/>
          </rPr>
          <t xml:space="preserve">CONSTRAINT types:
NUMBER
SUM
AVERAGE
ALL_OR_NONE
EXCLUDE
INCLUDE
ENEMY
* for APPLY=STM_TIM, only NUMBER is supported
</t>
        </r>
      </text>
    </comment>
    <comment ref="H1" authorId="0" shapeId="0" xr:uid="{28951E80-DF45-455C-8D86-63695BCD7FFD}">
      <text>
        <r>
          <rPr>
            <sz val="9"/>
            <color indexed="81"/>
            <rFont val="Tahoma"/>
            <family val="2"/>
          </rPr>
          <t>Additional column name for SUM and AVERAGE constraint defintion</t>
        </r>
      </text>
    </comment>
    <comment ref="I1" authorId="0" shapeId="0" xr:uid="{37FF443C-01B3-4812-A297-57AFD303B321}">
      <text>
        <r>
          <rPr>
            <sz val="9"/>
            <color indexed="81"/>
            <rFont val="Tahoma"/>
            <family val="2"/>
          </rPr>
          <t>Lower Bound</t>
        </r>
      </text>
    </comment>
    <comment ref="J1" authorId="0" shapeId="0" xr:uid="{C3D01FA0-330E-4F7B-A28D-28DA2BA66120}">
      <text>
        <r>
          <rPr>
            <sz val="9"/>
            <color indexed="81"/>
            <rFont val="Tahoma"/>
            <family val="2"/>
          </rPr>
          <t>Upper Bound</t>
        </r>
      </text>
    </comment>
    <comment ref="K1" authorId="0" shapeId="0" xr:uid="{15A5E24F-ED08-4348-9CF7-1983B07E0F49}">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D79A469D-1C0D-431A-99CC-DF3E2EF6B0E6}">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E50ED43B-6A81-4258-B3E6-79C9C4F52042}">
      <text>
        <r>
          <rPr>
            <sz val="9"/>
            <color indexed="81"/>
            <rFont val="Tahoma"/>
            <family val="2"/>
          </rPr>
          <t xml:space="preserve">filter items/stimuli for current section
</t>
        </r>
      </text>
    </comment>
    <comment ref="A3" authorId="0" shapeId="0" xr:uid="{A21F18BD-13EF-4D7F-95F9-A5952F65E186}">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 ref="A4" authorId="0" shapeId="0" xr:uid="{C300B7FE-AB8C-4EC4-81F2-AD133703A2BC}">
      <text>
        <r>
          <rPr>
            <sz val="9"/>
            <color indexed="81"/>
            <rFont val="Tahoma"/>
            <family val="2"/>
          </rPr>
          <t xml:space="preserve">Section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5" authorId="1" shapeId="0" xr:uid="{C91B0620-1EFD-4ED6-8A2E-D314179B921D}">
      <text>
        <r>
          <rPr>
            <sz val="9"/>
            <color indexed="81"/>
            <rFont val="Tahoma"/>
            <family val="2"/>
          </rPr>
          <t>The minimal number of OP items to administer before Section Termination Rules (SE and CT) could be applied to terminate the section.
Default (leave blank) is 0</t>
        </r>
      </text>
    </comment>
    <comment ref="A6" authorId="1" shapeId="0" xr:uid="{28629D25-F9E7-49BD-938C-82BE0319B890}">
      <text>
        <r>
          <rPr>
            <sz val="9"/>
            <color indexed="81"/>
            <rFont val="Tahoma"/>
            <family val="2"/>
          </rPr>
          <t xml:space="preserve">This is for variable test length CAT. Terminate section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7" authorId="1" shapeId="0" xr:uid="{BE8D58EA-F9B8-4743-8E1F-20390812F622}">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 ref="A8" authorId="1" shapeId="0" xr:uid="{16107BC7-256B-4B27-962C-D5A5B940762B}">
      <text>
        <r>
          <rPr>
            <sz val="9"/>
            <color indexed="81"/>
            <rFont val="Tahoma"/>
            <family val="2"/>
          </rPr>
          <t xml:space="preserve">This is for variable test length CAT. Terminate section when </t>
        </r>
        <r>
          <rPr>
            <b/>
            <sz val="9"/>
            <color indexed="81"/>
            <rFont val="Tahoma"/>
            <family val="2"/>
          </rPr>
          <t>Section</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9" authorId="1" shapeId="0" xr:uid="{2794826A-658A-40E9-BFE3-3CABDE812A47}">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Section</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93529542-5D15-4080-B938-33C69D1FB8DE}">
      <text>
        <r>
          <rPr>
            <sz val="9"/>
            <color indexed="81"/>
            <rFont val="Tahoma"/>
            <family val="2"/>
          </rPr>
          <t xml:space="preserve">CONSTRAINT ID, any unique string, no space allowed
</t>
        </r>
      </text>
    </comment>
    <comment ref="D1" authorId="0" shapeId="0" xr:uid="{08A5ADB1-AB83-4B72-9CD7-6B4352285975}">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B3147B14-ABE2-4EDF-BCA3-350347A4EC2F}">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9C475C34-9EB2-45F1-8AB2-18CCEB586293}">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FE99C2A0-6999-4882-9343-325D145BE81A}">
      <text>
        <r>
          <rPr>
            <sz val="9"/>
            <color indexed="81"/>
            <rFont val="Tahoma"/>
            <family val="2"/>
          </rPr>
          <t xml:space="preserve">CONSTRAINT types:
NUMBER
SUM
AVERAGE
ALL_OR_NONE
EXCLUDE
INCLUDE
ENEMY
* for APPLY=STM_TIM, only NUMBER is supported
</t>
        </r>
      </text>
    </comment>
    <comment ref="H1" authorId="0" shapeId="0" xr:uid="{C115D00A-6535-45B1-AD02-F0BBE126E70C}">
      <text>
        <r>
          <rPr>
            <sz val="9"/>
            <color indexed="81"/>
            <rFont val="Tahoma"/>
            <family val="2"/>
          </rPr>
          <t>Additional column name for SUM and AVERAGE constraint defintion</t>
        </r>
      </text>
    </comment>
    <comment ref="I1" authorId="0" shapeId="0" xr:uid="{DA21149B-4D2A-4082-AD61-83BB8DB6A18B}">
      <text>
        <r>
          <rPr>
            <sz val="9"/>
            <color indexed="81"/>
            <rFont val="Tahoma"/>
            <family val="2"/>
          </rPr>
          <t>Lower Bound</t>
        </r>
      </text>
    </comment>
    <comment ref="J1" authorId="0" shapeId="0" xr:uid="{0098C3CF-C11A-45C7-93D1-88C9D3011B6F}">
      <text>
        <r>
          <rPr>
            <sz val="9"/>
            <color indexed="81"/>
            <rFont val="Tahoma"/>
            <family val="2"/>
          </rPr>
          <t>Upper Bound</t>
        </r>
      </text>
    </comment>
    <comment ref="K1" authorId="0" shapeId="0" xr:uid="{93B301BA-C728-4845-A970-D82A42DD23C0}">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DFD74A92-B928-4257-AB7A-02FAE9A5BB7F}">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86EB629D-70E8-4AC8-AE8F-206049D561A1}">
      <text>
        <r>
          <rPr>
            <sz val="9"/>
            <color indexed="81"/>
            <rFont val="Tahoma"/>
            <family val="2"/>
          </rPr>
          <t xml:space="preserve">filter items/stimuli for current section
</t>
        </r>
      </text>
    </comment>
    <comment ref="A3" authorId="0" shapeId="0" xr:uid="{9CAB647D-453B-4CC4-809B-9DB139A5E758}">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 ref="A4" authorId="0" shapeId="0" xr:uid="{5C4599FC-4CD6-4E1D-8368-C67E37066B1E}">
      <text>
        <r>
          <rPr>
            <sz val="9"/>
            <color indexed="81"/>
            <rFont val="Tahoma"/>
            <family val="2"/>
          </rPr>
          <t xml:space="preserve">Section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5" authorId="1" shapeId="0" xr:uid="{AFAB34BF-6BE8-46A8-9A40-78C86BE07482}">
      <text>
        <r>
          <rPr>
            <sz val="9"/>
            <color indexed="81"/>
            <rFont val="Tahoma"/>
            <family val="2"/>
          </rPr>
          <t>The minimal number of OP items to administer before Section Termination Rules (SE and CT) could be applied to terminate the section.
Default (leave blank) is 0</t>
        </r>
      </text>
    </comment>
    <comment ref="A6" authorId="1" shapeId="0" xr:uid="{D5840D3E-58D4-45E1-A8DE-12C0578C02D8}">
      <text>
        <r>
          <rPr>
            <sz val="9"/>
            <color indexed="81"/>
            <rFont val="Tahoma"/>
            <family val="2"/>
          </rPr>
          <t xml:space="preserve">This is for variable test length CAT. Terminate section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7" authorId="1" shapeId="0" xr:uid="{0FD8D39D-45F8-42DF-B056-ADA53B21F950}">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 ref="A8" authorId="1" shapeId="0" xr:uid="{9984944C-CDBE-41C9-9B67-A80C284F318B}">
      <text>
        <r>
          <rPr>
            <sz val="9"/>
            <color indexed="81"/>
            <rFont val="Tahoma"/>
            <family val="2"/>
          </rPr>
          <t xml:space="preserve">This is for variable test length CAT. Terminate section when </t>
        </r>
        <r>
          <rPr>
            <b/>
            <sz val="9"/>
            <color indexed="81"/>
            <rFont val="Tahoma"/>
            <family val="2"/>
          </rPr>
          <t>Section</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9" authorId="1" shapeId="0" xr:uid="{F5978EE2-0453-4A77-A465-AAC49FD81DC3}">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Section</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2070B313-425C-402D-93C6-6F4FD12DA88F}">
      <text>
        <r>
          <rPr>
            <sz val="9"/>
            <color indexed="81"/>
            <rFont val="Tahoma"/>
            <family val="2"/>
          </rPr>
          <t xml:space="preserve">CONSTRAINT ID, any unique string, no space allowed
</t>
        </r>
      </text>
    </comment>
    <comment ref="D1" authorId="0" shapeId="0" xr:uid="{2BC51E07-FF3E-4C9E-871D-682CEA12D4DD}">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74458480-E620-4087-9E2F-9AB41CB2E85C}">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B8D41AE9-CEA6-466F-B549-5EADD199B2E6}">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69829E56-E690-4437-A4AA-8C62A00346BD}">
      <text>
        <r>
          <rPr>
            <sz val="9"/>
            <color indexed="81"/>
            <rFont val="Tahoma"/>
            <family val="2"/>
          </rPr>
          <t xml:space="preserve">CONSTRAINT types:
NUMBER
SUM
AVERAGE
ALL_OR_NONE
EXCLUDE
INCLUDE
ENEMY
* for APPLY=STM_TIM, only NUMBER is supported
</t>
        </r>
      </text>
    </comment>
    <comment ref="H1" authorId="0" shapeId="0" xr:uid="{380FF9E2-622E-4667-87C6-DBE69E1BBDB8}">
      <text>
        <r>
          <rPr>
            <sz val="9"/>
            <color indexed="81"/>
            <rFont val="Tahoma"/>
            <family val="2"/>
          </rPr>
          <t>Additional column name for SUM and AVERAGE constraint defintion</t>
        </r>
      </text>
    </comment>
    <comment ref="I1" authorId="0" shapeId="0" xr:uid="{B84FF8F6-6A19-481F-A13D-D47B3BB3B800}">
      <text>
        <r>
          <rPr>
            <sz val="9"/>
            <color indexed="81"/>
            <rFont val="Tahoma"/>
            <family val="2"/>
          </rPr>
          <t>Lower Bound</t>
        </r>
      </text>
    </comment>
    <comment ref="J1" authorId="0" shapeId="0" xr:uid="{893B1D47-CAAA-40DE-B438-0F8FA07FEAE5}">
      <text>
        <r>
          <rPr>
            <sz val="9"/>
            <color indexed="81"/>
            <rFont val="Tahoma"/>
            <family val="2"/>
          </rPr>
          <t>Upper Bound</t>
        </r>
      </text>
    </comment>
    <comment ref="K1" authorId="0" shapeId="0" xr:uid="{64DEFF28-44B8-4CFD-B0B1-5718354C1785}">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483B9AC3-5BAD-4404-9ED2-615DE7C679B4}">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A372A997-950B-4F8E-B4EB-EB9DCA94DA8E}">
      <text>
        <r>
          <rPr>
            <sz val="9"/>
            <color indexed="81"/>
            <rFont val="Tahoma"/>
            <family val="2"/>
          </rPr>
          <t xml:space="preserve">filter items/stimuli for current section
</t>
        </r>
      </text>
    </comment>
    <comment ref="A3" authorId="0" shapeId="0" xr:uid="{655B361C-0BAD-4DF6-9561-F67D05D96ABC}">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 ref="A4" authorId="0" shapeId="0" xr:uid="{6C3E3DB9-3571-4B2A-ABD4-A57C9A98D948}">
      <text>
        <r>
          <rPr>
            <sz val="9"/>
            <color indexed="81"/>
            <rFont val="Tahoma"/>
            <family val="2"/>
          </rPr>
          <t xml:space="preserve">Section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5" authorId="1" shapeId="0" xr:uid="{2F93A06C-0A4F-4C84-A428-B22F41C4401B}">
      <text>
        <r>
          <rPr>
            <sz val="9"/>
            <color indexed="81"/>
            <rFont val="Tahoma"/>
            <family val="2"/>
          </rPr>
          <t>The minimal number of OP items to administer before Section Termination Rules (SE and CT) could be applied to terminate the section.
Default (leave blank) is 0</t>
        </r>
      </text>
    </comment>
    <comment ref="A6" authorId="1" shapeId="0" xr:uid="{3D65E4D9-4127-4516-BD4A-38BB0FE7A674}">
      <text>
        <r>
          <rPr>
            <sz val="9"/>
            <color indexed="81"/>
            <rFont val="Tahoma"/>
            <family val="2"/>
          </rPr>
          <t xml:space="preserve">This is for variable test length CAT. Terminate section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7" authorId="1" shapeId="0" xr:uid="{4239C844-A50B-479A-8354-B4642EC17B9F}">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 ref="A8" authorId="1" shapeId="0" xr:uid="{79C2CED6-8AFE-4B97-8ECB-C97DD283F4A7}">
      <text>
        <r>
          <rPr>
            <sz val="9"/>
            <color indexed="81"/>
            <rFont val="Tahoma"/>
            <family val="2"/>
          </rPr>
          <t xml:space="preserve">This is for variable test length CAT. Terminate section when </t>
        </r>
        <r>
          <rPr>
            <b/>
            <sz val="9"/>
            <color indexed="81"/>
            <rFont val="Tahoma"/>
            <family val="2"/>
          </rPr>
          <t>Section</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(leave blank) is 0.0
</t>
        </r>
      </text>
    </comment>
    <comment ref="A9" authorId="1" shapeId="0" xr:uid="{7FD13C26-705E-48B5-A700-82B2AD7F2A4B}">
      <text>
        <r>
          <rPr>
            <sz val="9"/>
            <color indexed="81"/>
            <rFont val="Tahoma"/>
            <family val="2"/>
          </rPr>
          <t xml:space="preserve">This is for variable test length CAT. Terminate section when absolute </t>
        </r>
        <r>
          <rPr>
            <b/>
            <sz val="9"/>
            <color indexed="81"/>
            <rFont val="Tahoma"/>
            <family val="2"/>
          </rPr>
          <t>C</t>
        </r>
        <r>
          <rPr>
            <sz val="9"/>
            <color indexed="81"/>
            <rFont val="Tahoma"/>
            <family val="2"/>
          </rPr>
          <t xml:space="preserve">hange of </t>
        </r>
        <r>
          <rPr>
            <b/>
            <sz val="9"/>
            <color indexed="81"/>
            <rFont val="Tahoma"/>
            <family val="2"/>
          </rPr>
          <t>Section</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(leave blank) is 0.0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Jie Li</author>
    <author>Li, Jie</author>
  </authors>
  <commentList>
    <comment ref="A7" authorId="0" shapeId="0" xr:uid="{E46889A1-2143-478E-9AC8-11315BEE18A8}">
      <text>
        <r>
          <rPr>
            <sz val="9"/>
            <color indexed="81"/>
            <rFont val="Tahoma"/>
            <family val="2"/>
          </rPr>
          <t xml:space="preserve">Theta range lower bound 
default (leave blank) is -6
</t>
        </r>
      </text>
    </comment>
    <comment ref="A8" authorId="0" shapeId="0" xr:uid="{2AC80B46-3858-4241-8FB5-7585EB44C67A}">
      <text>
        <r>
          <rPr>
            <sz val="9"/>
            <color indexed="81"/>
            <rFont val="Tahoma"/>
            <family val="2"/>
          </rPr>
          <t xml:space="preserve">Theta range upper bound 
default (leave blank) is 6
</t>
        </r>
      </text>
    </comment>
    <comment ref="A9" authorId="1" shapeId="0" xr:uid="{4F0C6685-ABDE-469C-8B16-A6E41ADD2EE4}">
      <text>
        <r>
          <rPr>
            <sz val="9"/>
            <color indexed="81"/>
            <rFont val="Tahoma"/>
            <family val="2"/>
          </rPr>
          <t xml:space="preserve">Test Start Theta:
use one of the following options
FIXED value               - fixed value
NORMAL mean sd       - a random number from normal distribution
UNIFORM min max     - a random number from uniform distribution between min and max
default (leave blank) is FIXED 0
</t>
        </r>
      </text>
    </comment>
    <comment ref="A10" authorId="1" shapeId="0" xr:uid="{1556E3C2-38B2-4072-B804-108D36893558}">
      <text>
        <r>
          <rPr>
            <sz val="9"/>
            <color indexed="81"/>
            <rFont val="Tahoma"/>
            <family val="2"/>
          </rPr>
          <t xml:space="preserve">Test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11" authorId="1" shapeId="0" xr:uid="{B66BCFF9-D89F-46EB-8509-76D25ACBAC1E}">
      <text>
        <r>
          <rPr>
            <sz val="9"/>
            <color indexed="81"/>
            <rFont val="Tahoma"/>
            <family val="2"/>
          </rPr>
          <t xml:space="preserve">Final Overall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2" authorId="1" shapeId="0" xr:uid="{7E1776C5-6E95-42CB-AE50-3BE8D4BEED7D}">
      <text>
        <r>
          <rPr>
            <sz val="9"/>
            <color indexed="81"/>
            <rFont val="Tahoma"/>
            <family val="2"/>
          </rPr>
          <t xml:space="preserve">Final Subscore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3" authorId="1" shapeId="0" xr:uid="{BAB7C737-559A-4BFC-8FE0-1C8A40C4BAFA}">
      <text>
        <r>
          <rPr>
            <sz val="9"/>
            <color indexed="81"/>
            <rFont val="Tahoma"/>
            <family val="2"/>
          </rPr>
          <t xml:space="preserve">The column name(s) in "Item Bank" sheet, which define the subscore domain(s). 
If there are multiple subscore domains, use comma (,) or semicolon (;) to separate them, e.g., 
domain 1; domain 2
 </t>
        </r>
      </text>
    </comment>
    <comment ref="A14" authorId="0" shapeId="0" xr:uid="{C30E7D4E-1AF7-4792-A83D-BC4E5B9697E3}">
      <text>
        <r>
          <rPr>
            <sz val="9"/>
            <color indexed="81"/>
            <rFont val="Tahoma"/>
            <charset val="1"/>
          </rPr>
          <t>Scaling Constant A to convert theta to scale score
Scale Score = A * theta + B
default (leave blank) is 1.0</t>
        </r>
      </text>
    </comment>
    <comment ref="A15" authorId="0" shapeId="0" xr:uid="{7F0EDE4E-706E-4514-839B-68EB3500471F}">
      <text>
        <r>
          <rPr>
            <sz val="9"/>
            <color indexed="81"/>
            <rFont val="Tahoma"/>
            <charset val="1"/>
          </rPr>
          <t xml:space="preserve">Scaling Constant B to convert theta to scale score
Scale Score = A * theta + B
default (leave blank) is 1.0
</t>
        </r>
      </text>
    </comment>
    <comment ref="A16" authorId="1" shapeId="0" xr:uid="{A28B8A91-8EF2-49A8-80EB-CECB0E832C5F}">
      <text>
        <r>
          <rPr>
            <sz val="9"/>
            <color indexed="81"/>
            <rFont val="Tahoma"/>
            <family val="2"/>
          </rPr>
          <t xml:space="preserve">Keep the item order associated with a stimulus in CAT tests the same as in the "Item Bank" sheet? 
N  - No, let the algorithm decide the best order
Y  - Yes, keep the item order*
Default (leave blank) is N
* If the test format is "CAT 1", due to the adaptive nature, an item (associated with the stimulus) not selected in previous steps may be selected in the current step and thus cannot meet the item order in "Item Bank" sheet. </t>
        </r>
      </text>
    </comment>
    <comment ref="A17" authorId="1" shapeId="0" xr:uid="{F477FF3D-33B6-4343-95AB-7F09BE9B03EF}">
      <text>
        <r>
          <rPr>
            <sz val="9"/>
            <color indexed="81"/>
            <rFont val="Tahoma"/>
            <family val="2"/>
          </rPr>
          <t xml:space="preserve">the item exposure rate at/above which the CAT engine turns off the item. 
* If the item is absolutely needed to meet test constraints, it won't prevent it from being selected and the item exposure rate will go above the set exposure rate. 
default (leave blank) is no item exposure control.
</t>
        </r>
      </text>
    </comment>
    <comment ref="A18" authorId="1" shapeId="0" xr:uid="{C7AB8E95-703B-4A96-B379-F8BA626CF05E}">
      <text>
        <r>
          <rPr>
            <sz val="9"/>
            <color indexed="81"/>
            <rFont val="Tahoma"/>
            <family val="2"/>
          </rPr>
          <t xml:space="preserve">the stimulus exposure rate at/above which the CAT engine turns off the stimulus. 
* If the stimulus is absolutely needed to meet test constraints, it won't prevent it from being selected and the stimulus exposure rate will go above the set exposure rate. 
default (leave blank) is no stimulus exposure control.
</t>
        </r>
      </text>
    </comment>
    <comment ref="A19" authorId="1" shapeId="0" xr:uid="{DB9B08BF-B875-4334-ACDD-8BE4DDB7D91E}">
      <text>
        <r>
          <rPr>
            <sz val="9"/>
            <color indexed="81"/>
            <rFont val="Tahoma"/>
            <family val="2"/>
          </rPr>
          <t xml:space="preserve">Pre-generate preliminary shadow test forms at the specified theta values. Use comma (,) or semi-colon (;) or space ( ) to separate multiple theta values. 
* These are </t>
        </r>
        <r>
          <rPr>
            <b/>
            <sz val="9"/>
            <color indexed="81"/>
            <rFont val="Tahoma"/>
            <family val="2"/>
          </rPr>
          <t>optimal</t>
        </r>
        <r>
          <rPr>
            <sz val="9"/>
            <color indexed="81"/>
            <rFont val="Tahoma"/>
            <family val="2"/>
          </rPr>
          <t xml:space="preserve"> test forms at the specified theta values, but without considering cross-section item/stimulus enemies. They are used to check configuration settings and to </t>
        </r>
        <r>
          <rPr>
            <b/>
            <sz val="9"/>
            <color indexed="81"/>
            <rFont val="Tahoma"/>
            <family val="2"/>
          </rPr>
          <t>warm-start</t>
        </r>
        <r>
          <rPr>
            <sz val="9"/>
            <color indexed="81"/>
            <rFont val="Tahoma"/>
            <family val="2"/>
          </rPr>
          <t xml:space="preserve"> the CAT engine.
** If there are conflicting constraints in test specification, the system will fail to generate the preliminary shadow test forms, and will report </t>
        </r>
        <r>
          <rPr>
            <b/>
            <sz val="9"/>
            <color indexed="81"/>
            <rFont val="Tahoma"/>
            <family val="2"/>
          </rPr>
          <t>Irreducible Infeasible Set (IIS)</t>
        </r>
        <r>
          <rPr>
            <sz val="9"/>
            <color indexed="81"/>
            <rFont val="Tahoma"/>
            <family val="2"/>
          </rPr>
          <t xml:space="preserve"> information, the mininal set of constraints that at least one of them needs to be relaxed to get a feasible solution. You should fix the issue before proceeding.
default (leave blank) is -2,-1,0,1,2
</t>
        </r>
      </text>
    </comment>
    <comment ref="A20" authorId="0" shapeId="0" xr:uid="{0112D05F-A220-46C8-8923-5950A4151D0E}">
      <text>
        <r>
          <rPr>
            <sz val="9"/>
            <color indexed="81"/>
            <rFont val="Tahoma"/>
            <family val="2"/>
          </rPr>
          <t>The minimal number of OP items to administer before Test Termination Rules (SE and CT) could be applied to terminate the test.
Default (leave blank) is 0</t>
        </r>
      </text>
    </comment>
    <comment ref="A21" authorId="0" shapeId="0" xr:uid="{60E10923-C3D4-46DE-9CD4-5379E996F91E}">
      <text>
        <r>
          <rPr>
            <sz val="9"/>
            <color indexed="81"/>
            <rFont val="Tahoma"/>
            <family val="2"/>
          </rPr>
          <t xml:space="preserve">This is for variable test length CAT. Terminate test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0.0
</t>
        </r>
      </text>
    </comment>
    <comment ref="A22" authorId="0" shapeId="0" xr:uid="{3AC2B460-B1B3-4529-A083-8A1FAA881B93}">
      <text>
        <r>
          <rPr>
            <sz val="9"/>
            <color indexed="81"/>
            <rFont val="Tahoma"/>
            <family val="2"/>
          </rPr>
          <t xml:space="preserve">This is for variable test length CAT. Terminate test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0.0
</t>
        </r>
      </text>
    </comment>
    <comment ref="A23" authorId="0" shapeId="0" xr:uid="{0CE60F31-2CE0-4046-BCE7-67887F7FD89D}">
      <text>
        <r>
          <rPr>
            <sz val="9"/>
            <color indexed="81"/>
            <rFont val="Tahoma"/>
            <charset val="1"/>
          </rPr>
          <t xml:space="preserve">A .csv file (in the same folder as the current Excel configuration file) that contains Bayesian draws for student theta and item parameters. If such a .csv file is specified, Fully Bayesian methods will be used in CAT. 
The format of .csv file (see example1_bayesian.csv for an example) 
entry,parameter,v1,v2,...,v500
STUDENT,THETA,0.125,-1.256,...,2.157
Item1,B,-0.544,-2.173,...,-1.653
Item3,A,0.319,0.492,...,0.651
Item3,B,-1.731,-0.956,...,-2.239
Item3,C,0.224,0.262,...,0.253
* Reference:
van der Linden, W. J. &amp; Ren, H. (2020). A fast and simple algorithm for adaptive testing. Journal of Educational and Behavioral Statistics, 45, 58-85.
Niu, L. &amp; Choi, S. W. (2022). More efficient fully Bayesian adaptive testing with a revised proposal distribution. Behaviormetrika, 49, 255-273.
** The current version of Optimal CAT creates only overall scores (no subscores) for Fully Bayesian CAT. 
</t>
        </r>
      </text>
    </comment>
  </commentList>
</comments>
</file>

<file path=xl/sharedStrings.xml><?xml version="1.0" encoding="utf-8"?>
<sst xmlns="http://schemas.openxmlformats.org/spreadsheetml/2006/main" count="398" uniqueCount="136">
  <si>
    <t>POSITION</t>
  </si>
  <si>
    <t>ITM_ID</t>
  </si>
  <si>
    <t>STM_ID</t>
  </si>
  <si>
    <t>ENEMIES</t>
  </si>
  <si>
    <t>MODEL</t>
  </si>
  <si>
    <t>SCALING CONSTANT</t>
  </si>
  <si>
    <t>A</t>
  </si>
  <si>
    <t>B</t>
  </si>
  <si>
    <t>C</t>
  </si>
  <si>
    <t>Subject</t>
  </si>
  <si>
    <t>Grade</t>
  </si>
  <si>
    <t>MAX POINTS</t>
  </si>
  <si>
    <t>1PL</t>
  </si>
  <si>
    <t>ENTRY</t>
  </si>
  <si>
    <t>APPLY</t>
  </si>
  <si>
    <t>TYPE</t>
  </si>
  <si>
    <t>LB</t>
  </si>
  <si>
    <t>UB</t>
  </si>
  <si>
    <t>ITM</t>
  </si>
  <si>
    <t>VALUE</t>
  </si>
  <si>
    <t>VAR</t>
  </si>
  <si>
    <t>Theta Range LB</t>
  </si>
  <si>
    <t>Theta Range UB</t>
  </si>
  <si>
    <t>Year</t>
  </si>
  <si>
    <t>Test Name</t>
  </si>
  <si>
    <t>SECTION NAME</t>
  </si>
  <si>
    <t>(END)</t>
  </si>
  <si>
    <t>ROUTING CRITERIA</t>
  </si>
  <si>
    <t>NEXT SECTION NAME</t>
  </si>
  <si>
    <t>Test Interim Theta Estimation</t>
  </si>
  <si>
    <t>Test Format</t>
  </si>
  <si>
    <t>Section Filter</t>
  </si>
  <si>
    <t>Test Start Theta</t>
  </si>
  <si>
    <t>D1</t>
  </si>
  <si>
    <t>D2</t>
  </si>
  <si>
    <t>D3</t>
  </si>
  <si>
    <t>D4</t>
  </si>
  <si>
    <t>Keep Item Order in Stimulus (Y/N)</t>
  </si>
  <si>
    <t>Test Final Theta Estimation</t>
  </si>
  <si>
    <t>Test Subscore Theta Estimation</t>
  </si>
  <si>
    <t>STATUS</t>
  </si>
  <si>
    <t>(START)</t>
  </si>
  <si>
    <t>Pre-Generate Shadow Test Forms at Theta</t>
  </si>
  <si>
    <t xml:space="preserve">* The diagram is not required by the CAT engine. It is for illustration purposes only. </t>
  </si>
  <si>
    <t>Scale Score Scaling Constant A</t>
  </si>
  <si>
    <t>Scale Score Scaling Constant B</t>
  </si>
  <si>
    <t>ITM SET DEFINITION</t>
  </si>
  <si>
    <t>STM SET DEFINITION</t>
  </si>
  <si>
    <t>CONSTRAINT_ID</t>
  </si>
  <si>
    <t>Test Subscore Domain Name(s)</t>
  </si>
  <si>
    <t>Version</t>
  </si>
  <si>
    <t>Bayesian Draws</t>
  </si>
  <si>
    <t>VIOLATION COST</t>
  </si>
  <si>
    <t>Test Termination SE</t>
  </si>
  <si>
    <t>Test Termination CT</t>
  </si>
  <si>
    <t>Test Termination Min N</t>
  </si>
  <si>
    <t>Item Exposure Control Rate</t>
  </si>
  <si>
    <t>Stimulus Exposure Control Rate</t>
  </si>
  <si>
    <t>D</t>
  </si>
  <si>
    <t>TEST THETA [-6,-1.0)</t>
  </si>
  <si>
    <t>TEST THETA (-1.0, 6]</t>
  </si>
  <si>
    <t>TEST THETA [-1.0, 1.0]</t>
  </si>
  <si>
    <t>CAT 1</t>
  </si>
  <si>
    <t>Section Termination Min N</t>
  </si>
  <si>
    <t>Section Termination SE (Test Theta)</t>
  </si>
  <si>
    <t>Section Termination CT (Test Theta)</t>
  </si>
  <si>
    <t>Section Termination SE (Section Theta)</t>
  </si>
  <si>
    <t>Section Termination CT (Section Theta)</t>
  </si>
  <si>
    <t>Section</t>
  </si>
  <si>
    <t>Section = 'A'</t>
  </si>
  <si>
    <t>Section = 'B'</t>
  </si>
  <si>
    <t>Section = 'C'</t>
  </si>
  <si>
    <t>Section = 'D'</t>
  </si>
  <si>
    <t>OP</t>
  </si>
  <si>
    <t>Section Interim Theta Estimation</t>
  </si>
  <si>
    <t>EAP NORMAL 0 1</t>
  </si>
  <si>
    <t>A01</t>
  </si>
  <si>
    <t>A02</t>
  </si>
  <si>
    <t>A03</t>
  </si>
  <si>
    <t>A04</t>
  </si>
  <si>
    <t>A05</t>
  </si>
  <si>
    <t>A06</t>
  </si>
  <si>
    <t>A07</t>
  </si>
  <si>
    <t>A08</t>
  </si>
  <si>
    <t>A09</t>
  </si>
  <si>
    <t>A10</t>
  </si>
  <si>
    <t>A11</t>
  </si>
  <si>
    <t>A12</t>
  </si>
  <si>
    <t>A13</t>
  </si>
  <si>
    <t>A14</t>
  </si>
  <si>
    <t>A15</t>
  </si>
  <si>
    <t>B01</t>
  </si>
  <si>
    <t>B02</t>
  </si>
  <si>
    <t>B03</t>
  </si>
  <si>
    <t>B04</t>
  </si>
  <si>
    <t>B05</t>
  </si>
  <si>
    <t>B06</t>
  </si>
  <si>
    <t>B07</t>
  </si>
  <si>
    <t>B08</t>
  </si>
  <si>
    <t>B09</t>
  </si>
  <si>
    <t>B10</t>
  </si>
  <si>
    <t>B11</t>
  </si>
  <si>
    <t>B12</t>
  </si>
  <si>
    <t>B13</t>
  </si>
  <si>
    <t>B14</t>
  </si>
  <si>
    <t>B15</t>
  </si>
  <si>
    <t>C01</t>
  </si>
  <si>
    <t>C02</t>
  </si>
  <si>
    <t>C03</t>
  </si>
  <si>
    <t>C04</t>
  </si>
  <si>
    <t>C05</t>
  </si>
  <si>
    <t>C06</t>
  </si>
  <si>
    <t>C07</t>
  </si>
  <si>
    <t>C08</t>
  </si>
  <si>
    <t>C09</t>
  </si>
  <si>
    <t>C10</t>
  </si>
  <si>
    <t>C11</t>
  </si>
  <si>
    <t>C12</t>
  </si>
  <si>
    <t>C13</t>
  </si>
  <si>
    <t>C14</t>
  </si>
  <si>
    <t>C15</t>
  </si>
  <si>
    <t>D01</t>
  </si>
  <si>
    <t>D02</t>
  </si>
  <si>
    <t>D03</t>
  </si>
  <si>
    <t>D04</t>
  </si>
  <si>
    <t>D05</t>
  </si>
  <si>
    <t>D06</t>
  </si>
  <si>
    <t>D07</t>
  </si>
  <si>
    <t>D08</t>
  </si>
  <si>
    <t>D09</t>
  </si>
  <si>
    <t>D10</t>
  </si>
  <si>
    <t>D11</t>
  </si>
  <si>
    <t>D12</t>
  </si>
  <si>
    <t>D13</t>
  </si>
  <si>
    <t>D14</t>
  </si>
  <si>
    <t>D15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</si>
</sst>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charset val="1"/>
    </font>
    <font>
      <sz val="9"/>
      <color indexed="81"/>
      <name val="Tahoma"/>
      <family val="2"/>
    </font>
    <font>
      <b/>
      <sz val="9"/>
      <color indexed="81"/>
      <name val="Tahom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33" borderId="10" xfId="0" applyFill="1" applyBorder="1" applyProtection="1">
      <protection hidden="1"/>
    </xf>
    <xf numFmtId="0" fontId="0" fillId="33" borderId="0" xfId="0" applyFill="1"/>
    <xf numFmtId="0" fontId="0" fillId="0" borderId="0" xfId="0" applyProtection="1">
      <protection locked="0"/>
    </xf>
    <xf numFmtId="0" fontId="0" fillId="33" borderId="11" xfId="0" applyFill="1" applyBorder="1" applyProtection="1">
      <protection hidden="1"/>
    </xf>
    <xf numFmtId="0" fontId="0" fillId="0" borderId="0" xfId="0" applyAlignment="1">
      <alignment horizontal="left"/>
    </xf>
    <xf numFmtId="0" fontId="0" fillId="0" borderId="0" xfId="0" applyProtection="1">
      <protection hidden="1"/>
    </xf>
    <xf numFmtId="0" fontId="0" fillId="33" borderId="10" xfId="0" applyFill="1" applyBorder="1" applyAlignment="1" applyProtection="1">
      <alignment horizontal="left"/>
      <protection hidden="1"/>
    </xf>
    <xf numFmtId="0" fontId="0" fillId="0" borderId="0" xfId="0" applyAlignment="1" applyProtection="1">
      <alignment horizontal="left"/>
      <protection hidden="1"/>
    </xf>
    <xf numFmtId="49" fontId="0" fillId="33" borderId="0" xfId="0" applyNumberFormat="1" applyFill="1" applyProtection="1">
      <protection hidden="1"/>
    </xf>
    <xf numFmtId="49" fontId="0" fillId="0" borderId="0" xfId="0" applyNumberFormat="1"/>
    <xf numFmtId="0" fontId="0" fillId="33" borderId="0" xfId="0" applyFill="1" applyAlignment="1">
      <alignment horizontal="left"/>
    </xf>
    <xf numFmtId="0" fontId="0" fillId="0" borderId="0" xfId="0" quotePrefix="1" applyAlignment="1">
      <alignment horizontal="left"/>
    </xf>
    <xf numFmtId="0" fontId="0" fillId="33" borderId="0" xfId="0" applyFill="1" applyProtection="1">
      <protection hidden="1"/>
    </xf>
    <xf numFmtId="0" fontId="0" fillId="34" borderId="0" xfId="0" applyFill="1"/>
    <xf numFmtId="0" fontId="0" fillId="34" borderId="0" xfId="0" quotePrefix="1" applyFill="1" applyAlignment="1">
      <alignment horizontal="left"/>
    </xf>
    <xf numFmtId="0" fontId="0" fillId="34" borderId="0" xfId="0"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403105</xdr:colOff>
      <xdr:row>20</xdr:row>
      <xdr:rowOff>69090</xdr:rowOff>
    </xdr:from>
    <xdr:to>
      <xdr:col>9</xdr:col>
      <xdr:colOff>141550</xdr:colOff>
      <xdr:row>22</xdr:row>
      <xdr:rowOff>17029</xdr:rowOff>
    </xdr:to>
    <xdr:sp macro="" textlink="">
      <xdr:nvSpPr>
        <xdr:cNvPr id="15" name="Rectangle: Rounded Corners 14">
          <a:extLst>
            <a:ext uri="{FF2B5EF4-FFF2-40B4-BE49-F238E27FC236}">
              <a16:creationId xmlns:a16="http://schemas.microsoft.com/office/drawing/2014/main" id="{F1ABA150-07B9-47F6-8D02-97411E9D0A4F}"/>
            </a:ext>
          </a:extLst>
        </xdr:cNvPr>
        <xdr:cNvSpPr/>
      </xdr:nvSpPr>
      <xdr:spPr>
        <a:xfrm>
          <a:off x="6866967" y="3747711"/>
          <a:ext cx="957645" cy="3158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(END)</a:t>
          </a:r>
        </a:p>
      </xdr:txBody>
    </xdr:sp>
    <xdr:clientData/>
  </xdr:twoCellAnchor>
  <xdr:twoCellAnchor>
    <xdr:from>
      <xdr:col>7</xdr:col>
      <xdr:colOff>409575</xdr:colOff>
      <xdr:row>3</xdr:row>
      <xdr:rowOff>45714</xdr:rowOff>
    </xdr:from>
    <xdr:to>
      <xdr:col>9</xdr:col>
      <xdr:colOff>148020</xdr:colOff>
      <xdr:row>4</xdr:row>
      <xdr:rowOff>176533</xdr:rowOff>
    </xdr:to>
    <xdr:sp macro="" textlink="">
      <xdr:nvSpPr>
        <xdr:cNvPr id="27" name="Rectangle: Rounded Corners 26">
          <a:extLst>
            <a:ext uri="{FF2B5EF4-FFF2-40B4-BE49-F238E27FC236}">
              <a16:creationId xmlns:a16="http://schemas.microsoft.com/office/drawing/2014/main" id="{D346DA5D-6D18-4159-9632-3979D8568762}"/>
            </a:ext>
          </a:extLst>
        </xdr:cNvPr>
        <xdr:cNvSpPr/>
      </xdr:nvSpPr>
      <xdr:spPr>
        <a:xfrm>
          <a:off x="6871335" y="594354"/>
          <a:ext cx="957645" cy="3136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(START)</a:t>
          </a:r>
        </a:p>
      </xdr:txBody>
    </xdr:sp>
    <xdr:clientData/>
  </xdr:twoCellAnchor>
  <xdr:twoCellAnchor>
    <xdr:from>
      <xdr:col>8</xdr:col>
      <xdr:colOff>278130</xdr:colOff>
      <xdr:row>4</xdr:row>
      <xdr:rowOff>176533</xdr:rowOff>
    </xdr:from>
    <xdr:to>
      <xdr:col>8</xdr:col>
      <xdr:colOff>278798</xdr:colOff>
      <xdr:row>7</xdr:row>
      <xdr:rowOff>0</xdr:rowOff>
    </xdr:to>
    <xdr:cxnSp macro="">
      <xdr:nvCxnSpPr>
        <xdr:cNvPr id="26" name="Straight Arrow Connector 25">
          <a:extLst>
            <a:ext uri="{FF2B5EF4-FFF2-40B4-BE49-F238E27FC236}">
              <a16:creationId xmlns:a16="http://schemas.microsoft.com/office/drawing/2014/main" id="{D0DDFC66-0A8E-4B6D-96DA-087D97936D28}"/>
            </a:ext>
          </a:extLst>
        </xdr:cNvPr>
        <xdr:cNvCxnSpPr>
          <a:cxnSpLocks/>
          <a:stCxn id="27" idx="2"/>
          <a:endCxn id="13" idx="0"/>
        </xdr:cNvCxnSpPr>
      </xdr:nvCxnSpPr>
      <xdr:spPr>
        <a:xfrm flipH="1">
          <a:off x="7349490" y="908053"/>
          <a:ext cx="668" cy="3721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541020</xdr:colOff>
      <xdr:row>7</xdr:row>
      <xdr:rowOff>0</xdr:rowOff>
    </xdr:from>
    <xdr:to>
      <xdr:col>10</xdr:col>
      <xdr:colOff>15240</xdr:colOff>
      <xdr:row>10</xdr:row>
      <xdr:rowOff>15240</xdr:rowOff>
    </xdr:to>
    <xdr:sp macro="" textlink="">
      <xdr:nvSpPr>
        <xdr:cNvPr id="13" name="TextBox 12">
          <a:extLst>
            <a:ext uri="{FF2B5EF4-FFF2-40B4-BE49-F238E27FC236}">
              <a16:creationId xmlns:a16="http://schemas.microsoft.com/office/drawing/2014/main" id="{764AEF59-2D9E-4E10-8514-F7553B684B7A}"/>
            </a:ext>
          </a:extLst>
        </xdr:cNvPr>
        <xdr:cNvSpPr txBox="1"/>
      </xdr:nvSpPr>
      <xdr:spPr>
        <a:xfrm>
          <a:off x="6393180" y="1280160"/>
          <a:ext cx="1912620" cy="563880"/>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t>Section A</a:t>
          </a:r>
        </a:p>
        <a:p>
          <a:pPr algn="ctr"/>
          <a:r>
            <a:rPr lang="en-US" sz="1100" baseline="0"/>
            <a:t>SE &lt;= 0.55 or test length = 15</a:t>
          </a:r>
        </a:p>
        <a:p>
          <a:r>
            <a:rPr lang="en-US" sz="1100" baseline="0"/>
            <a:t> </a:t>
          </a:r>
        </a:p>
      </xdr:txBody>
    </xdr:sp>
    <xdr:clientData/>
  </xdr:twoCellAnchor>
  <xdr:twoCellAnchor>
    <xdr:from>
      <xdr:col>4</xdr:col>
      <xdr:colOff>274320</xdr:colOff>
      <xdr:row>12</xdr:row>
      <xdr:rowOff>83820</xdr:rowOff>
    </xdr:from>
    <xdr:to>
      <xdr:col>6</xdr:col>
      <xdr:colOff>426720</xdr:colOff>
      <xdr:row>17</xdr:row>
      <xdr:rowOff>68580</xdr:rowOff>
    </xdr:to>
    <xdr:sp macro="" textlink="">
      <xdr:nvSpPr>
        <xdr:cNvPr id="16" name="TextBox 15">
          <a:extLst>
            <a:ext uri="{FF2B5EF4-FFF2-40B4-BE49-F238E27FC236}">
              <a16:creationId xmlns:a16="http://schemas.microsoft.com/office/drawing/2014/main" id="{E6322AA4-6D3F-45F5-A3D3-BA4D01900E6A}"/>
            </a:ext>
          </a:extLst>
        </xdr:cNvPr>
        <xdr:cNvSpPr txBox="1"/>
      </xdr:nvSpPr>
      <xdr:spPr>
        <a:xfrm>
          <a:off x="4907280" y="2278380"/>
          <a:ext cx="1371600" cy="899160"/>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t>Section B</a:t>
          </a:r>
        </a:p>
        <a:p>
          <a:pPr algn="ctr"/>
          <a:r>
            <a:rPr lang="en-US" sz="1100" baseline="0"/>
            <a:t>SE &lt;= 0.45 </a:t>
          </a:r>
        </a:p>
        <a:p>
          <a:pPr algn="ctr"/>
          <a:r>
            <a:rPr lang="en-US" sz="1100" baseline="0"/>
            <a:t>or </a:t>
          </a:r>
        </a:p>
        <a:p>
          <a:pPr algn="ctr"/>
          <a:r>
            <a:rPr lang="en-US" sz="1100" baseline="0"/>
            <a:t>test length = 15</a:t>
          </a:r>
        </a:p>
        <a:p>
          <a:r>
            <a:rPr lang="en-US" sz="1100" baseline="0"/>
            <a:t> </a:t>
          </a:r>
        </a:p>
      </xdr:txBody>
    </xdr:sp>
    <xdr:clientData/>
  </xdr:twoCellAnchor>
  <xdr:twoCellAnchor>
    <xdr:from>
      <xdr:col>7</xdr:col>
      <xdr:colOff>198645</xdr:colOff>
      <xdr:row>12</xdr:row>
      <xdr:rowOff>89075</xdr:rowOff>
    </xdr:from>
    <xdr:to>
      <xdr:col>9</xdr:col>
      <xdr:colOff>351045</xdr:colOff>
      <xdr:row>17</xdr:row>
      <xdr:rowOff>73835</xdr:rowOff>
    </xdr:to>
    <xdr:sp macro="" textlink="">
      <xdr:nvSpPr>
        <xdr:cNvPr id="17" name="TextBox 16">
          <a:extLst>
            <a:ext uri="{FF2B5EF4-FFF2-40B4-BE49-F238E27FC236}">
              <a16:creationId xmlns:a16="http://schemas.microsoft.com/office/drawing/2014/main" id="{7BA7F2AB-AB65-4E79-8ABC-DC2540D7CD85}"/>
            </a:ext>
          </a:extLst>
        </xdr:cNvPr>
        <xdr:cNvSpPr txBox="1"/>
      </xdr:nvSpPr>
      <xdr:spPr>
        <a:xfrm>
          <a:off x="6662507" y="2296247"/>
          <a:ext cx="1371600" cy="904416"/>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t>Section C</a:t>
          </a:r>
        </a:p>
        <a:p>
          <a:pPr algn="ctr"/>
          <a:r>
            <a:rPr lang="en-US" sz="1100" baseline="0"/>
            <a:t>SE &lt;= 0.45 </a:t>
          </a:r>
        </a:p>
        <a:p>
          <a:pPr algn="ctr"/>
          <a:r>
            <a:rPr lang="en-US" sz="1100" baseline="0"/>
            <a:t>or </a:t>
          </a:r>
        </a:p>
        <a:p>
          <a:pPr algn="ctr"/>
          <a:r>
            <a:rPr lang="en-US" sz="1100" baseline="0"/>
            <a:t>test length = 15</a:t>
          </a:r>
        </a:p>
        <a:p>
          <a:r>
            <a:rPr lang="en-US" sz="1100" baseline="0"/>
            <a:t> </a:t>
          </a:r>
        </a:p>
      </xdr:txBody>
    </xdr:sp>
    <xdr:clientData/>
  </xdr:twoCellAnchor>
  <xdr:twoCellAnchor>
    <xdr:from>
      <xdr:col>10</xdr:col>
      <xdr:colOff>76200</xdr:colOff>
      <xdr:row>12</xdr:row>
      <xdr:rowOff>83820</xdr:rowOff>
    </xdr:from>
    <xdr:to>
      <xdr:col>12</xdr:col>
      <xdr:colOff>228600</xdr:colOff>
      <xdr:row>17</xdr:row>
      <xdr:rowOff>68580</xdr:rowOff>
    </xdr:to>
    <xdr:sp macro="" textlink="">
      <xdr:nvSpPr>
        <xdr:cNvPr id="18" name="TextBox 17">
          <a:extLst>
            <a:ext uri="{FF2B5EF4-FFF2-40B4-BE49-F238E27FC236}">
              <a16:creationId xmlns:a16="http://schemas.microsoft.com/office/drawing/2014/main" id="{11C0DF81-AE15-449B-B98F-0FBF694FAC14}"/>
            </a:ext>
          </a:extLst>
        </xdr:cNvPr>
        <xdr:cNvSpPr txBox="1"/>
      </xdr:nvSpPr>
      <xdr:spPr>
        <a:xfrm>
          <a:off x="8366760" y="2278380"/>
          <a:ext cx="1371600" cy="899160"/>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t>Section D</a:t>
          </a:r>
        </a:p>
        <a:p>
          <a:pPr algn="ctr"/>
          <a:r>
            <a:rPr lang="en-US" sz="1100" baseline="0"/>
            <a:t>SE &lt;= 0.45 </a:t>
          </a:r>
        </a:p>
        <a:p>
          <a:pPr algn="ctr"/>
          <a:r>
            <a:rPr lang="en-US" sz="1100" baseline="0"/>
            <a:t>or </a:t>
          </a:r>
        </a:p>
        <a:p>
          <a:pPr algn="ctr"/>
          <a:r>
            <a:rPr lang="en-US" sz="1100" baseline="0"/>
            <a:t>test length = 15</a:t>
          </a:r>
        </a:p>
        <a:p>
          <a:r>
            <a:rPr lang="en-US" sz="1100" baseline="0"/>
            <a:t> </a:t>
          </a:r>
        </a:p>
      </xdr:txBody>
    </xdr:sp>
    <xdr:clientData/>
  </xdr:twoCellAnchor>
  <xdr:twoCellAnchor>
    <xdr:from>
      <xdr:col>8</xdr:col>
      <xdr:colOff>274845</xdr:colOff>
      <xdr:row>10</xdr:row>
      <xdr:rowOff>15240</xdr:rowOff>
    </xdr:from>
    <xdr:to>
      <xdr:col>8</xdr:col>
      <xdr:colOff>278130</xdr:colOff>
      <xdr:row>12</xdr:row>
      <xdr:rowOff>89075</xdr:rowOff>
    </xdr:to>
    <xdr:cxnSp macro="">
      <xdr:nvCxnSpPr>
        <xdr:cNvPr id="30" name="Straight Arrow Connector 29">
          <a:extLst>
            <a:ext uri="{FF2B5EF4-FFF2-40B4-BE49-F238E27FC236}">
              <a16:creationId xmlns:a16="http://schemas.microsoft.com/office/drawing/2014/main" id="{1154E52F-2DC5-4F80-A737-50B09A57140B}"/>
            </a:ext>
          </a:extLst>
        </xdr:cNvPr>
        <xdr:cNvCxnSpPr>
          <a:cxnSpLocks/>
          <a:stCxn id="13" idx="2"/>
          <a:endCxn id="17" idx="0"/>
        </xdr:cNvCxnSpPr>
      </xdr:nvCxnSpPr>
      <xdr:spPr>
        <a:xfrm flipH="1">
          <a:off x="7348307" y="1854550"/>
          <a:ext cx="3285" cy="4416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272328</xdr:colOff>
      <xdr:row>17</xdr:row>
      <xdr:rowOff>73835</xdr:rowOff>
    </xdr:from>
    <xdr:to>
      <xdr:col>8</xdr:col>
      <xdr:colOff>274845</xdr:colOff>
      <xdr:row>20</xdr:row>
      <xdr:rowOff>69090</xdr:rowOff>
    </xdr:to>
    <xdr:cxnSp macro="">
      <xdr:nvCxnSpPr>
        <xdr:cNvPr id="37" name="Straight Arrow Connector 36">
          <a:extLst>
            <a:ext uri="{FF2B5EF4-FFF2-40B4-BE49-F238E27FC236}">
              <a16:creationId xmlns:a16="http://schemas.microsoft.com/office/drawing/2014/main" id="{2B2717B2-C45D-4ECF-BAF1-5A0CC748CD60}"/>
            </a:ext>
          </a:extLst>
        </xdr:cNvPr>
        <xdr:cNvCxnSpPr>
          <a:cxnSpLocks/>
          <a:stCxn id="17" idx="2"/>
          <a:endCxn id="15" idx="0"/>
        </xdr:cNvCxnSpPr>
      </xdr:nvCxnSpPr>
      <xdr:spPr>
        <a:xfrm flipH="1">
          <a:off x="7345790" y="3200663"/>
          <a:ext cx="2517" cy="54704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487680</xdr:colOff>
      <xdr:row>10</xdr:row>
      <xdr:rowOff>121920</xdr:rowOff>
    </xdr:from>
    <xdr:to>
      <xdr:col>6</xdr:col>
      <xdr:colOff>349126</xdr:colOff>
      <xdr:row>12</xdr:row>
      <xdr:rowOff>10056</xdr:rowOff>
    </xdr:to>
    <xdr:sp macro="" textlink="">
      <xdr:nvSpPr>
        <xdr:cNvPr id="47" name="TextBox 46">
          <a:extLst>
            <a:ext uri="{FF2B5EF4-FFF2-40B4-BE49-F238E27FC236}">
              <a16:creationId xmlns:a16="http://schemas.microsoft.com/office/drawing/2014/main" id="{C9F7B5A7-B147-42BC-961B-1EC4CC742ADB}"/>
            </a:ext>
          </a:extLst>
        </xdr:cNvPr>
        <xdr:cNvSpPr txBox="1"/>
      </xdr:nvSpPr>
      <xdr:spPr>
        <a:xfrm>
          <a:off x="5120640" y="1950720"/>
          <a:ext cx="1080646" cy="2538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accent1"/>
              </a:solidFill>
            </a:rPr>
            <a:t>TEST</a:t>
          </a:r>
          <a:r>
            <a:rPr lang="en-US" sz="1100" baseline="0">
              <a:solidFill>
                <a:schemeClr val="accent1"/>
              </a:solidFill>
            </a:rPr>
            <a:t> </a:t>
          </a:r>
          <a:r>
            <a:rPr lang="en-US" sz="1100">
              <a:solidFill>
                <a:schemeClr val="accent1"/>
              </a:solidFill>
            </a:rPr>
            <a:t>theta &lt; -1.0</a:t>
          </a:r>
        </a:p>
      </xdr:txBody>
    </xdr:sp>
    <xdr:clientData/>
  </xdr:twoCellAnchor>
  <xdr:twoCellAnchor>
    <xdr:from>
      <xdr:col>10</xdr:col>
      <xdr:colOff>152400</xdr:colOff>
      <xdr:row>10</xdr:row>
      <xdr:rowOff>129540</xdr:rowOff>
    </xdr:from>
    <xdr:to>
      <xdr:col>12</xdr:col>
      <xdr:colOff>13846</xdr:colOff>
      <xdr:row>12</xdr:row>
      <xdr:rowOff>17676</xdr:rowOff>
    </xdr:to>
    <xdr:sp macro="" textlink="">
      <xdr:nvSpPr>
        <xdr:cNvPr id="48" name="TextBox 47">
          <a:extLst>
            <a:ext uri="{FF2B5EF4-FFF2-40B4-BE49-F238E27FC236}">
              <a16:creationId xmlns:a16="http://schemas.microsoft.com/office/drawing/2014/main" id="{1E7D28C9-8055-4779-8651-39F3BAB002B4}"/>
            </a:ext>
          </a:extLst>
        </xdr:cNvPr>
        <xdr:cNvSpPr txBox="1"/>
      </xdr:nvSpPr>
      <xdr:spPr>
        <a:xfrm>
          <a:off x="8442960" y="1958340"/>
          <a:ext cx="1080646" cy="2538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accent1"/>
              </a:solidFill>
            </a:rPr>
            <a:t>TEST</a:t>
          </a:r>
          <a:r>
            <a:rPr lang="en-US" sz="1100" baseline="0">
              <a:solidFill>
                <a:schemeClr val="accent1"/>
              </a:solidFill>
            </a:rPr>
            <a:t> </a:t>
          </a:r>
          <a:r>
            <a:rPr lang="en-US" sz="1100">
              <a:solidFill>
                <a:schemeClr val="accent1"/>
              </a:solidFill>
            </a:rPr>
            <a:t>theta &lt;</a:t>
          </a:r>
          <a:r>
            <a:rPr lang="en-US" sz="1100" baseline="0">
              <a:solidFill>
                <a:schemeClr val="accent1"/>
              </a:solidFill>
            </a:rPr>
            <a:t> 1</a:t>
          </a:r>
          <a:r>
            <a:rPr lang="en-US" sz="1100">
              <a:solidFill>
                <a:schemeClr val="accent1"/>
              </a:solidFill>
            </a:rPr>
            <a:t>.0</a:t>
          </a:r>
        </a:p>
      </xdr:txBody>
    </xdr:sp>
    <xdr:clientData/>
  </xdr:twoCellAnchor>
  <xdr:twoCellAnchor>
    <xdr:from>
      <xdr:col>7</xdr:col>
      <xdr:colOff>38100</xdr:colOff>
      <xdr:row>10</xdr:row>
      <xdr:rowOff>137160</xdr:rowOff>
    </xdr:from>
    <xdr:to>
      <xdr:col>9</xdr:col>
      <xdr:colOff>419100</xdr:colOff>
      <xdr:row>12</xdr:row>
      <xdr:rowOff>25296</xdr:rowOff>
    </xdr:to>
    <xdr:sp macro="" textlink="">
      <xdr:nvSpPr>
        <xdr:cNvPr id="49" name="TextBox 48">
          <a:extLst>
            <a:ext uri="{FF2B5EF4-FFF2-40B4-BE49-F238E27FC236}">
              <a16:creationId xmlns:a16="http://schemas.microsoft.com/office/drawing/2014/main" id="{FE17325D-E93B-43BA-94D6-992670AB3A09}"/>
            </a:ext>
          </a:extLst>
        </xdr:cNvPr>
        <xdr:cNvSpPr txBox="1"/>
      </xdr:nvSpPr>
      <xdr:spPr>
        <a:xfrm>
          <a:off x="6499860" y="1965960"/>
          <a:ext cx="1600200" cy="2538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accent1"/>
              </a:solidFill>
            </a:rPr>
            <a:t>-1.0</a:t>
          </a:r>
          <a:r>
            <a:rPr lang="en-US" sz="1100" baseline="0">
              <a:solidFill>
                <a:schemeClr val="accent1"/>
              </a:solidFill>
            </a:rPr>
            <a:t> </a:t>
          </a:r>
          <a:r>
            <a:rPr lang="en-US" sz="1100">
              <a:solidFill>
                <a:schemeClr val="accent1"/>
              </a:solidFill>
            </a:rPr>
            <a:t>&lt;= TEST</a:t>
          </a:r>
          <a:r>
            <a:rPr lang="en-US" sz="1100" baseline="0">
              <a:solidFill>
                <a:schemeClr val="accent1"/>
              </a:solidFill>
            </a:rPr>
            <a:t> </a:t>
          </a:r>
          <a:r>
            <a:rPr lang="en-US" sz="1100">
              <a:solidFill>
                <a:schemeClr val="accent1"/>
              </a:solidFill>
            </a:rPr>
            <a:t>theta &lt;= 1.0</a:t>
          </a:r>
        </a:p>
      </xdr:txBody>
    </xdr:sp>
    <xdr:clientData/>
  </xdr:twoCellAnchor>
  <xdr:twoCellAnchor>
    <xdr:from>
      <xdr:col>5</xdr:col>
      <xdr:colOff>418403</xdr:colOff>
      <xdr:row>10</xdr:row>
      <xdr:rowOff>15241</xdr:rowOff>
    </xdr:from>
    <xdr:to>
      <xdr:col>8</xdr:col>
      <xdr:colOff>278130</xdr:colOff>
      <xdr:row>12</xdr:row>
      <xdr:rowOff>10057</xdr:rowOff>
    </xdr:to>
    <xdr:cxnSp macro="">
      <xdr:nvCxnSpPr>
        <xdr:cNvPr id="3" name="Connector: Elbow 2">
          <a:extLst>
            <a:ext uri="{FF2B5EF4-FFF2-40B4-BE49-F238E27FC236}">
              <a16:creationId xmlns:a16="http://schemas.microsoft.com/office/drawing/2014/main" id="{75BF20F9-3F62-1A56-12D0-909C171E8200}"/>
            </a:ext>
          </a:extLst>
        </xdr:cNvPr>
        <xdr:cNvCxnSpPr>
          <a:stCxn id="13" idx="2"/>
          <a:endCxn id="47" idx="2"/>
        </xdr:cNvCxnSpPr>
      </xdr:nvCxnSpPr>
      <xdr:spPr>
        <a:xfrm rot="5400000">
          <a:off x="6324939" y="1180065"/>
          <a:ext cx="360576" cy="1688527"/>
        </a:xfrm>
        <a:prstGeom prst="bentConnector3">
          <a:avLst>
            <a:gd name="adj1" fmla="val 34488"/>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278130</xdr:colOff>
      <xdr:row>10</xdr:row>
      <xdr:rowOff>15240</xdr:rowOff>
    </xdr:from>
    <xdr:to>
      <xdr:col>11</xdr:col>
      <xdr:colOff>152400</xdr:colOff>
      <xdr:row>12</xdr:row>
      <xdr:rowOff>83820</xdr:rowOff>
    </xdr:to>
    <xdr:cxnSp macro="">
      <xdr:nvCxnSpPr>
        <xdr:cNvPr id="6" name="Connector: Elbow 5">
          <a:extLst>
            <a:ext uri="{FF2B5EF4-FFF2-40B4-BE49-F238E27FC236}">
              <a16:creationId xmlns:a16="http://schemas.microsoft.com/office/drawing/2014/main" id="{6CE112B7-1D9A-454E-B1C3-A8E7CFBFF1D3}"/>
            </a:ext>
          </a:extLst>
        </xdr:cNvPr>
        <xdr:cNvCxnSpPr>
          <a:stCxn id="13" idx="2"/>
          <a:endCxn id="18" idx="0"/>
        </xdr:cNvCxnSpPr>
      </xdr:nvCxnSpPr>
      <xdr:spPr>
        <a:xfrm rot="16200000" flipH="1">
          <a:off x="7983855" y="1209675"/>
          <a:ext cx="434340" cy="1703070"/>
        </a:xfrm>
        <a:prstGeom prst="bentConnector3">
          <a:avLst>
            <a:gd name="adj1" fmla="val 2894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350520</xdr:colOff>
      <xdr:row>17</xdr:row>
      <xdr:rowOff>68580</xdr:rowOff>
    </xdr:from>
    <xdr:to>
      <xdr:col>8</xdr:col>
      <xdr:colOff>272328</xdr:colOff>
      <xdr:row>20</xdr:row>
      <xdr:rowOff>69090</xdr:rowOff>
    </xdr:to>
    <xdr:cxnSp macro="">
      <xdr:nvCxnSpPr>
        <xdr:cNvPr id="10" name="Connector: Elbow 9">
          <a:extLst>
            <a:ext uri="{FF2B5EF4-FFF2-40B4-BE49-F238E27FC236}">
              <a16:creationId xmlns:a16="http://schemas.microsoft.com/office/drawing/2014/main" id="{07B0D0EB-3413-4891-872E-6F3FF5993F33}"/>
            </a:ext>
          </a:extLst>
        </xdr:cNvPr>
        <xdr:cNvCxnSpPr>
          <a:stCxn id="16" idx="2"/>
          <a:endCxn id="15" idx="0"/>
        </xdr:cNvCxnSpPr>
      </xdr:nvCxnSpPr>
      <xdr:spPr>
        <a:xfrm rot="16200000" flipH="1">
          <a:off x="6193809" y="2576811"/>
          <a:ext cx="549150" cy="175060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272328</xdr:colOff>
      <xdr:row>17</xdr:row>
      <xdr:rowOff>68580</xdr:rowOff>
    </xdr:from>
    <xdr:to>
      <xdr:col>11</xdr:col>
      <xdr:colOff>152400</xdr:colOff>
      <xdr:row>20</xdr:row>
      <xdr:rowOff>69090</xdr:rowOff>
    </xdr:to>
    <xdr:cxnSp macro="">
      <xdr:nvCxnSpPr>
        <xdr:cNvPr id="14" name="Connector: Elbow 13">
          <a:extLst>
            <a:ext uri="{FF2B5EF4-FFF2-40B4-BE49-F238E27FC236}">
              <a16:creationId xmlns:a16="http://schemas.microsoft.com/office/drawing/2014/main" id="{1E15CF44-83AA-43AB-9383-691FD4B59C6D}"/>
            </a:ext>
          </a:extLst>
        </xdr:cNvPr>
        <xdr:cNvCxnSpPr>
          <a:stCxn id="18" idx="2"/>
          <a:endCxn id="15" idx="0"/>
        </xdr:cNvCxnSpPr>
      </xdr:nvCxnSpPr>
      <xdr:spPr>
        <a:xfrm rot="5400000">
          <a:off x="7923549" y="2597679"/>
          <a:ext cx="549150" cy="1708872"/>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1"/>
  <sheetViews>
    <sheetView zoomScaleNormal="100" workbookViewId="0">
      <pane ySplit="1" topLeftCell="A2" activePane="bottomLeft" state="frozen"/>
      <selection pane="bottomLeft" activeCell="G22" sqref="G22"/>
    </sheetView>
  </sheetViews>
  <sheetFormatPr defaultRowHeight="14.4" x14ac:dyDescent="0.3"/>
  <cols>
    <col min="1" max="1" width="17.109375" customWidth="1"/>
    <col min="2" max="2" width="17" customWidth="1"/>
    <col min="3" max="3" width="8.44140625" bestFit="1" customWidth="1"/>
    <col min="4" max="4" width="8.109375" customWidth="1"/>
    <col min="5" max="5" width="12.21875" customWidth="1"/>
    <col min="6" max="6" width="9.21875" customWidth="1"/>
    <col min="7" max="7" width="17.88671875" bestFit="1" customWidth="1"/>
    <col min="8" max="14" width="9.21875" customWidth="1"/>
    <col min="16" max="16" width="9.44140625" bestFit="1" customWidth="1"/>
  </cols>
  <sheetData>
    <row r="1" spans="1:15" x14ac:dyDescent="0.3">
      <c r="A1" s="1" t="s">
        <v>1</v>
      </c>
      <c r="B1" s="1" t="s">
        <v>2</v>
      </c>
      <c r="C1" s="2" t="s">
        <v>3</v>
      </c>
      <c r="D1" s="2" t="s">
        <v>40</v>
      </c>
      <c r="E1" s="2" t="s">
        <v>11</v>
      </c>
      <c r="F1" s="2" t="s">
        <v>4</v>
      </c>
      <c r="G1" s="2" t="s">
        <v>5</v>
      </c>
      <c r="H1" s="2" t="s">
        <v>6</v>
      </c>
      <c r="I1" s="2" t="s">
        <v>7</v>
      </c>
      <c r="J1" s="2" t="s">
        <v>8</v>
      </c>
      <c r="K1" s="2" t="s">
        <v>33</v>
      </c>
      <c r="L1" s="2" t="s">
        <v>34</v>
      </c>
      <c r="M1" s="2" t="s">
        <v>35</v>
      </c>
      <c r="N1" s="2" t="s">
        <v>36</v>
      </c>
      <c r="O1" t="s">
        <v>68</v>
      </c>
    </row>
    <row r="2" spans="1:15" x14ac:dyDescent="0.3">
      <c r="A2" t="s">
        <v>76</v>
      </c>
      <c r="D2" t="s">
        <v>73</v>
      </c>
      <c r="E2">
        <v>1</v>
      </c>
      <c r="F2" t="s">
        <v>12</v>
      </c>
      <c r="G2">
        <v>1</v>
      </c>
      <c r="I2">
        <f ca="1">ROUND(NORMINV(RAND(),0,1),3)</f>
        <v>-2.0089999999999999</v>
      </c>
      <c r="O2" t="s">
        <v>6</v>
      </c>
    </row>
    <row r="3" spans="1:15" x14ac:dyDescent="0.3">
      <c r="A3" t="s">
        <v>77</v>
      </c>
      <c r="D3" t="s">
        <v>73</v>
      </c>
      <c r="E3">
        <v>1</v>
      </c>
      <c r="F3" t="s">
        <v>12</v>
      </c>
      <c r="G3">
        <v>1</v>
      </c>
      <c r="I3">
        <f t="shared" ref="I3:I16" ca="1" si="0">ROUND(NORMINV(RAND(),0,1),3)</f>
        <v>-0.98199999999999998</v>
      </c>
      <c r="O3" t="s">
        <v>6</v>
      </c>
    </row>
    <row r="4" spans="1:15" x14ac:dyDescent="0.3">
      <c r="A4" t="s">
        <v>78</v>
      </c>
      <c r="D4" t="s">
        <v>73</v>
      </c>
      <c r="E4">
        <v>1</v>
      </c>
      <c r="F4" t="s">
        <v>12</v>
      </c>
      <c r="G4">
        <v>1</v>
      </c>
      <c r="I4">
        <f t="shared" ca="1" si="0"/>
        <v>0.68100000000000005</v>
      </c>
      <c r="O4" t="s">
        <v>6</v>
      </c>
    </row>
    <row r="5" spans="1:15" x14ac:dyDescent="0.3">
      <c r="A5" t="s">
        <v>79</v>
      </c>
      <c r="D5" t="s">
        <v>73</v>
      </c>
      <c r="E5">
        <v>1</v>
      </c>
      <c r="F5" t="s">
        <v>12</v>
      </c>
      <c r="G5">
        <v>1</v>
      </c>
      <c r="I5">
        <f t="shared" ca="1" si="0"/>
        <v>0.72899999999999998</v>
      </c>
      <c r="O5" t="s">
        <v>6</v>
      </c>
    </row>
    <row r="6" spans="1:15" x14ac:dyDescent="0.3">
      <c r="A6" t="s">
        <v>80</v>
      </c>
      <c r="D6" t="s">
        <v>73</v>
      </c>
      <c r="E6">
        <v>1</v>
      </c>
      <c r="F6" t="s">
        <v>12</v>
      </c>
      <c r="G6">
        <v>1</v>
      </c>
      <c r="I6">
        <f t="shared" ca="1" si="0"/>
        <v>-1.0740000000000001</v>
      </c>
      <c r="O6" t="s">
        <v>6</v>
      </c>
    </row>
    <row r="7" spans="1:15" x14ac:dyDescent="0.3">
      <c r="A7" t="s">
        <v>81</v>
      </c>
      <c r="D7" t="s">
        <v>73</v>
      </c>
      <c r="E7">
        <v>1</v>
      </c>
      <c r="F7" t="s">
        <v>12</v>
      </c>
      <c r="G7">
        <v>1</v>
      </c>
      <c r="I7">
        <f t="shared" ca="1" si="0"/>
        <v>-1.129</v>
      </c>
      <c r="O7" t="s">
        <v>6</v>
      </c>
    </row>
    <row r="8" spans="1:15" x14ac:dyDescent="0.3">
      <c r="A8" t="s">
        <v>82</v>
      </c>
      <c r="D8" t="s">
        <v>73</v>
      </c>
      <c r="E8">
        <v>1</v>
      </c>
      <c r="F8" t="s">
        <v>12</v>
      </c>
      <c r="G8">
        <v>1</v>
      </c>
      <c r="I8">
        <f t="shared" ca="1" si="0"/>
        <v>3.4000000000000002E-2</v>
      </c>
      <c r="O8" t="s">
        <v>6</v>
      </c>
    </row>
    <row r="9" spans="1:15" x14ac:dyDescent="0.3">
      <c r="A9" t="s">
        <v>83</v>
      </c>
      <c r="D9" t="s">
        <v>73</v>
      </c>
      <c r="E9">
        <v>1</v>
      </c>
      <c r="F9" t="s">
        <v>12</v>
      </c>
      <c r="G9">
        <v>1</v>
      </c>
      <c r="I9">
        <f t="shared" ca="1" si="0"/>
        <v>0.74099999999999999</v>
      </c>
      <c r="O9" t="s">
        <v>6</v>
      </c>
    </row>
    <row r="10" spans="1:15" x14ac:dyDescent="0.3">
      <c r="A10" t="s">
        <v>84</v>
      </c>
      <c r="D10" t="s">
        <v>73</v>
      </c>
      <c r="E10">
        <v>1</v>
      </c>
      <c r="F10" t="s">
        <v>12</v>
      </c>
      <c r="G10">
        <v>1</v>
      </c>
      <c r="I10">
        <f t="shared" ca="1" si="0"/>
        <v>0.54</v>
      </c>
      <c r="O10" t="s">
        <v>6</v>
      </c>
    </row>
    <row r="11" spans="1:15" x14ac:dyDescent="0.3">
      <c r="A11" t="s">
        <v>85</v>
      </c>
      <c r="D11" t="s">
        <v>73</v>
      </c>
      <c r="E11">
        <v>1</v>
      </c>
      <c r="F11" t="s">
        <v>12</v>
      </c>
      <c r="G11">
        <v>1</v>
      </c>
      <c r="I11">
        <f t="shared" ca="1" si="0"/>
        <v>0.60699999999999998</v>
      </c>
      <c r="O11" t="s">
        <v>6</v>
      </c>
    </row>
    <row r="12" spans="1:15" x14ac:dyDescent="0.3">
      <c r="A12" t="s">
        <v>86</v>
      </c>
      <c r="D12" t="s">
        <v>73</v>
      </c>
      <c r="E12">
        <v>1</v>
      </c>
      <c r="F12" t="s">
        <v>12</v>
      </c>
      <c r="G12">
        <v>1</v>
      </c>
      <c r="I12">
        <f t="shared" ca="1" si="0"/>
        <v>-0.34799999999999998</v>
      </c>
      <c r="O12" t="s">
        <v>6</v>
      </c>
    </row>
    <row r="13" spans="1:15" x14ac:dyDescent="0.3">
      <c r="A13" t="s">
        <v>87</v>
      </c>
      <c r="D13" t="s">
        <v>73</v>
      </c>
      <c r="E13">
        <v>1</v>
      </c>
      <c r="F13" t="s">
        <v>12</v>
      </c>
      <c r="G13">
        <v>1</v>
      </c>
      <c r="I13">
        <f t="shared" ca="1" si="0"/>
        <v>0.33900000000000002</v>
      </c>
      <c r="O13" t="s">
        <v>6</v>
      </c>
    </row>
    <row r="14" spans="1:15" x14ac:dyDescent="0.3">
      <c r="A14" t="s">
        <v>88</v>
      </c>
      <c r="D14" t="s">
        <v>73</v>
      </c>
      <c r="E14">
        <v>1</v>
      </c>
      <c r="F14" t="s">
        <v>12</v>
      </c>
      <c r="G14">
        <v>1</v>
      </c>
      <c r="I14">
        <f t="shared" ca="1" si="0"/>
        <v>1.4279999999999999</v>
      </c>
      <c r="O14" t="s">
        <v>6</v>
      </c>
    </row>
    <row r="15" spans="1:15" x14ac:dyDescent="0.3">
      <c r="A15" t="s">
        <v>89</v>
      </c>
      <c r="D15" t="s">
        <v>73</v>
      </c>
      <c r="E15">
        <v>1</v>
      </c>
      <c r="F15" t="s">
        <v>12</v>
      </c>
      <c r="G15">
        <v>1</v>
      </c>
      <c r="I15">
        <f t="shared" ca="1" si="0"/>
        <v>0.66</v>
      </c>
      <c r="O15" t="s">
        <v>6</v>
      </c>
    </row>
    <row r="16" spans="1:15" x14ac:dyDescent="0.3">
      <c r="A16" t="s">
        <v>90</v>
      </c>
      <c r="D16" t="s">
        <v>73</v>
      </c>
      <c r="E16">
        <v>1</v>
      </c>
      <c r="F16" t="s">
        <v>12</v>
      </c>
      <c r="G16">
        <v>1</v>
      </c>
      <c r="I16">
        <f t="shared" ca="1" si="0"/>
        <v>0.23499999999999999</v>
      </c>
      <c r="O16" t="s">
        <v>6</v>
      </c>
    </row>
    <row r="17" spans="1:15" s="14" customFormat="1" x14ac:dyDescent="0.3">
      <c r="A17" s="14" t="s">
        <v>91</v>
      </c>
      <c r="D17" s="14" t="s">
        <v>73</v>
      </c>
      <c r="E17" s="14">
        <v>1</v>
      </c>
      <c r="F17" s="14" t="s">
        <v>12</v>
      </c>
      <c r="G17" s="14">
        <v>1</v>
      </c>
      <c r="I17" s="14">
        <f ca="1">ROUND(NORMINV(RAND(),-1,1),3)</f>
        <v>-1.212</v>
      </c>
      <c r="O17" s="14" t="s">
        <v>7</v>
      </c>
    </row>
    <row r="18" spans="1:15" s="14" customFormat="1" x14ac:dyDescent="0.3">
      <c r="A18" s="14" t="s">
        <v>92</v>
      </c>
      <c r="D18" s="14" t="s">
        <v>73</v>
      </c>
      <c r="E18" s="14">
        <v>1</v>
      </c>
      <c r="F18" s="14" t="s">
        <v>12</v>
      </c>
      <c r="G18" s="14">
        <v>1</v>
      </c>
      <c r="I18" s="14">
        <f t="shared" ref="I18:I31" ca="1" si="1">ROUND(NORMINV(RAND(),-1,1),3)</f>
        <v>-0.13900000000000001</v>
      </c>
      <c r="O18" s="14" t="s">
        <v>7</v>
      </c>
    </row>
    <row r="19" spans="1:15" s="14" customFormat="1" x14ac:dyDescent="0.3">
      <c r="A19" s="14" t="s">
        <v>93</v>
      </c>
      <c r="D19" s="14" t="s">
        <v>73</v>
      </c>
      <c r="E19" s="14">
        <v>1</v>
      </c>
      <c r="F19" s="14" t="s">
        <v>12</v>
      </c>
      <c r="G19" s="14">
        <v>1</v>
      </c>
      <c r="I19" s="14">
        <f t="shared" ca="1" si="1"/>
        <v>-2.984</v>
      </c>
      <c r="O19" s="14" t="s">
        <v>7</v>
      </c>
    </row>
    <row r="20" spans="1:15" s="14" customFormat="1" x14ac:dyDescent="0.3">
      <c r="A20" s="14" t="s">
        <v>94</v>
      </c>
      <c r="D20" s="14" t="s">
        <v>73</v>
      </c>
      <c r="E20" s="14">
        <v>1</v>
      </c>
      <c r="F20" s="14" t="s">
        <v>12</v>
      </c>
      <c r="G20" s="14">
        <v>1</v>
      </c>
      <c r="I20" s="14">
        <f t="shared" ca="1" si="1"/>
        <v>-0.97599999999999998</v>
      </c>
      <c r="O20" s="14" t="s">
        <v>7</v>
      </c>
    </row>
    <row r="21" spans="1:15" s="14" customFormat="1" x14ac:dyDescent="0.3">
      <c r="A21" s="14" t="s">
        <v>95</v>
      </c>
      <c r="D21" s="14" t="s">
        <v>73</v>
      </c>
      <c r="E21" s="14">
        <v>1</v>
      </c>
      <c r="F21" s="14" t="s">
        <v>12</v>
      </c>
      <c r="G21" s="14">
        <v>1</v>
      </c>
      <c r="I21" s="14">
        <f t="shared" ca="1" si="1"/>
        <v>0.23</v>
      </c>
      <c r="O21" s="14" t="s">
        <v>7</v>
      </c>
    </row>
    <row r="22" spans="1:15" s="14" customFormat="1" x14ac:dyDescent="0.3">
      <c r="A22" s="14" t="s">
        <v>96</v>
      </c>
      <c r="D22" s="14" t="s">
        <v>73</v>
      </c>
      <c r="E22" s="14">
        <v>1</v>
      </c>
      <c r="F22" s="14" t="s">
        <v>12</v>
      </c>
      <c r="G22" s="14">
        <v>1</v>
      </c>
      <c r="I22" s="14">
        <f t="shared" ca="1" si="1"/>
        <v>-0.96599999999999997</v>
      </c>
      <c r="O22" s="14" t="s">
        <v>7</v>
      </c>
    </row>
    <row r="23" spans="1:15" s="14" customFormat="1" x14ac:dyDescent="0.3">
      <c r="A23" s="14" t="s">
        <v>97</v>
      </c>
      <c r="D23" s="14" t="s">
        <v>73</v>
      </c>
      <c r="E23" s="14">
        <v>1</v>
      </c>
      <c r="F23" s="14" t="s">
        <v>12</v>
      </c>
      <c r="G23" s="14">
        <v>1</v>
      </c>
      <c r="I23" s="14">
        <f t="shared" ca="1" si="1"/>
        <v>-0.376</v>
      </c>
      <c r="O23" s="14" t="s">
        <v>7</v>
      </c>
    </row>
    <row r="24" spans="1:15" s="14" customFormat="1" x14ac:dyDescent="0.3">
      <c r="A24" s="14" t="s">
        <v>98</v>
      </c>
      <c r="D24" s="14" t="s">
        <v>73</v>
      </c>
      <c r="E24" s="14">
        <v>1</v>
      </c>
      <c r="F24" s="14" t="s">
        <v>12</v>
      </c>
      <c r="G24" s="14">
        <v>1</v>
      </c>
      <c r="I24" s="14">
        <f t="shared" ca="1" si="1"/>
        <v>0.106</v>
      </c>
      <c r="O24" s="14" t="s">
        <v>7</v>
      </c>
    </row>
    <row r="25" spans="1:15" s="14" customFormat="1" x14ac:dyDescent="0.3">
      <c r="A25" s="14" t="s">
        <v>99</v>
      </c>
      <c r="D25" s="14" t="s">
        <v>73</v>
      </c>
      <c r="E25" s="14">
        <v>1</v>
      </c>
      <c r="F25" s="14" t="s">
        <v>12</v>
      </c>
      <c r="G25" s="14">
        <v>1</v>
      </c>
      <c r="I25" s="14">
        <f t="shared" ca="1" si="1"/>
        <v>-1.363</v>
      </c>
      <c r="O25" s="14" t="s">
        <v>7</v>
      </c>
    </row>
    <row r="26" spans="1:15" s="14" customFormat="1" x14ac:dyDescent="0.3">
      <c r="A26" s="14" t="s">
        <v>100</v>
      </c>
      <c r="D26" s="14" t="s">
        <v>73</v>
      </c>
      <c r="E26" s="14">
        <v>1</v>
      </c>
      <c r="F26" s="14" t="s">
        <v>12</v>
      </c>
      <c r="G26" s="14">
        <v>1</v>
      </c>
      <c r="I26" s="14">
        <f t="shared" ca="1" si="1"/>
        <v>-0.89200000000000002</v>
      </c>
      <c r="O26" s="14" t="s">
        <v>7</v>
      </c>
    </row>
    <row r="27" spans="1:15" s="14" customFormat="1" x14ac:dyDescent="0.3">
      <c r="A27" s="14" t="s">
        <v>101</v>
      </c>
      <c r="D27" s="14" t="s">
        <v>73</v>
      </c>
      <c r="E27" s="14">
        <v>1</v>
      </c>
      <c r="F27" s="14" t="s">
        <v>12</v>
      </c>
      <c r="G27" s="14">
        <v>1</v>
      </c>
      <c r="I27" s="14">
        <f t="shared" ca="1" si="1"/>
        <v>0.34399999999999997</v>
      </c>
      <c r="O27" s="14" t="s">
        <v>7</v>
      </c>
    </row>
    <row r="28" spans="1:15" s="14" customFormat="1" x14ac:dyDescent="0.3">
      <c r="A28" s="14" t="s">
        <v>102</v>
      </c>
      <c r="D28" s="14" t="s">
        <v>73</v>
      </c>
      <c r="E28" s="14">
        <v>1</v>
      </c>
      <c r="F28" s="14" t="s">
        <v>12</v>
      </c>
      <c r="G28" s="14">
        <v>1</v>
      </c>
      <c r="I28" s="14">
        <f t="shared" ca="1" si="1"/>
        <v>-0.92300000000000004</v>
      </c>
      <c r="O28" s="14" t="s">
        <v>7</v>
      </c>
    </row>
    <row r="29" spans="1:15" s="14" customFormat="1" x14ac:dyDescent="0.3">
      <c r="A29" s="14" t="s">
        <v>103</v>
      </c>
      <c r="D29" s="14" t="s">
        <v>73</v>
      </c>
      <c r="E29" s="14">
        <v>1</v>
      </c>
      <c r="F29" s="14" t="s">
        <v>12</v>
      </c>
      <c r="G29" s="14">
        <v>1</v>
      </c>
      <c r="I29" s="14">
        <f t="shared" ca="1" si="1"/>
        <v>-1.1479999999999999</v>
      </c>
      <c r="O29" s="14" t="s">
        <v>7</v>
      </c>
    </row>
    <row r="30" spans="1:15" s="14" customFormat="1" x14ac:dyDescent="0.3">
      <c r="A30" s="14" t="s">
        <v>104</v>
      </c>
      <c r="D30" s="14" t="s">
        <v>73</v>
      </c>
      <c r="E30" s="14">
        <v>1</v>
      </c>
      <c r="F30" s="14" t="s">
        <v>12</v>
      </c>
      <c r="G30" s="14">
        <v>1</v>
      </c>
      <c r="I30" s="14">
        <f t="shared" ca="1" si="1"/>
        <v>-0.625</v>
      </c>
      <c r="O30" s="14" t="s">
        <v>7</v>
      </c>
    </row>
    <row r="31" spans="1:15" s="14" customFormat="1" x14ac:dyDescent="0.3">
      <c r="A31" s="14" t="s">
        <v>105</v>
      </c>
      <c r="D31" s="14" t="s">
        <v>73</v>
      </c>
      <c r="E31" s="14">
        <v>1</v>
      </c>
      <c r="F31" s="14" t="s">
        <v>12</v>
      </c>
      <c r="G31" s="14">
        <v>1</v>
      </c>
      <c r="I31" s="14">
        <f t="shared" ca="1" si="1"/>
        <v>-2.0950000000000002</v>
      </c>
      <c r="O31" s="14" t="s">
        <v>7</v>
      </c>
    </row>
    <row r="32" spans="1:15" x14ac:dyDescent="0.3">
      <c r="A32" t="s">
        <v>106</v>
      </c>
      <c r="D32" t="s">
        <v>73</v>
      </c>
      <c r="E32">
        <v>1</v>
      </c>
      <c r="F32" t="s">
        <v>12</v>
      </c>
      <c r="G32">
        <v>1</v>
      </c>
      <c r="I32">
        <f t="shared" ref="I32:I46" ca="1" si="2">ROUND(NORMINV(RAND(),0,1),3)</f>
        <v>-1.802</v>
      </c>
      <c r="O32" t="s">
        <v>8</v>
      </c>
    </row>
    <row r="33" spans="1:15" x14ac:dyDescent="0.3">
      <c r="A33" t="s">
        <v>107</v>
      </c>
      <c r="D33" t="s">
        <v>73</v>
      </c>
      <c r="E33">
        <v>1</v>
      </c>
      <c r="F33" t="s">
        <v>12</v>
      </c>
      <c r="G33">
        <v>1</v>
      </c>
      <c r="I33">
        <f t="shared" ca="1" si="2"/>
        <v>-0.89100000000000001</v>
      </c>
      <c r="O33" t="s">
        <v>8</v>
      </c>
    </row>
    <row r="34" spans="1:15" x14ac:dyDescent="0.3">
      <c r="A34" t="s">
        <v>108</v>
      </c>
      <c r="D34" t="s">
        <v>73</v>
      </c>
      <c r="E34">
        <v>1</v>
      </c>
      <c r="F34" t="s">
        <v>12</v>
      </c>
      <c r="G34">
        <v>1</v>
      </c>
      <c r="I34">
        <f t="shared" ca="1" si="2"/>
        <v>0.44500000000000001</v>
      </c>
      <c r="O34" t="s">
        <v>8</v>
      </c>
    </row>
    <row r="35" spans="1:15" x14ac:dyDescent="0.3">
      <c r="A35" t="s">
        <v>109</v>
      </c>
      <c r="D35" t="s">
        <v>73</v>
      </c>
      <c r="E35">
        <v>1</v>
      </c>
      <c r="F35" t="s">
        <v>12</v>
      </c>
      <c r="G35">
        <v>1</v>
      </c>
      <c r="I35">
        <f t="shared" ca="1" si="2"/>
        <v>1.202</v>
      </c>
      <c r="O35" t="s">
        <v>8</v>
      </c>
    </row>
    <row r="36" spans="1:15" x14ac:dyDescent="0.3">
      <c r="A36" t="s">
        <v>110</v>
      </c>
      <c r="D36" t="s">
        <v>73</v>
      </c>
      <c r="E36">
        <v>1</v>
      </c>
      <c r="F36" t="s">
        <v>12</v>
      </c>
      <c r="G36">
        <v>1</v>
      </c>
      <c r="I36">
        <f t="shared" ca="1" si="2"/>
        <v>0.45800000000000002</v>
      </c>
      <c r="O36" t="s">
        <v>8</v>
      </c>
    </row>
    <row r="37" spans="1:15" x14ac:dyDescent="0.3">
      <c r="A37" t="s">
        <v>111</v>
      </c>
      <c r="D37" t="s">
        <v>73</v>
      </c>
      <c r="E37">
        <v>1</v>
      </c>
      <c r="F37" t="s">
        <v>12</v>
      </c>
      <c r="G37">
        <v>1</v>
      </c>
      <c r="I37">
        <f t="shared" ca="1" si="2"/>
        <v>0.79900000000000004</v>
      </c>
      <c r="O37" t="s">
        <v>8</v>
      </c>
    </row>
    <row r="38" spans="1:15" x14ac:dyDescent="0.3">
      <c r="A38" t="s">
        <v>112</v>
      </c>
      <c r="D38" t="s">
        <v>73</v>
      </c>
      <c r="E38">
        <v>1</v>
      </c>
      <c r="F38" t="s">
        <v>12</v>
      </c>
      <c r="G38">
        <v>1</v>
      </c>
      <c r="I38">
        <f t="shared" ca="1" si="2"/>
        <v>-0.373</v>
      </c>
      <c r="O38" t="s">
        <v>8</v>
      </c>
    </row>
    <row r="39" spans="1:15" x14ac:dyDescent="0.3">
      <c r="A39" t="s">
        <v>113</v>
      </c>
      <c r="D39" t="s">
        <v>73</v>
      </c>
      <c r="E39">
        <v>1</v>
      </c>
      <c r="F39" t="s">
        <v>12</v>
      </c>
      <c r="G39">
        <v>1</v>
      </c>
      <c r="I39">
        <f t="shared" ca="1" si="2"/>
        <v>-0.32500000000000001</v>
      </c>
      <c r="O39" t="s">
        <v>8</v>
      </c>
    </row>
    <row r="40" spans="1:15" x14ac:dyDescent="0.3">
      <c r="A40" t="s">
        <v>114</v>
      </c>
      <c r="D40" t="s">
        <v>73</v>
      </c>
      <c r="E40">
        <v>1</v>
      </c>
      <c r="F40" t="s">
        <v>12</v>
      </c>
      <c r="G40">
        <v>1</v>
      </c>
      <c r="I40">
        <f t="shared" ca="1" si="2"/>
        <v>-1.5489999999999999</v>
      </c>
      <c r="O40" t="s">
        <v>8</v>
      </c>
    </row>
    <row r="41" spans="1:15" x14ac:dyDescent="0.3">
      <c r="A41" t="s">
        <v>115</v>
      </c>
      <c r="D41" t="s">
        <v>73</v>
      </c>
      <c r="E41">
        <v>1</v>
      </c>
      <c r="F41" t="s">
        <v>12</v>
      </c>
      <c r="G41">
        <v>1</v>
      </c>
      <c r="I41">
        <f t="shared" ca="1" si="2"/>
        <v>-0.752</v>
      </c>
      <c r="O41" t="s">
        <v>8</v>
      </c>
    </row>
    <row r="42" spans="1:15" x14ac:dyDescent="0.3">
      <c r="A42" t="s">
        <v>116</v>
      </c>
      <c r="D42" t="s">
        <v>73</v>
      </c>
      <c r="E42">
        <v>1</v>
      </c>
      <c r="F42" t="s">
        <v>12</v>
      </c>
      <c r="G42">
        <v>1</v>
      </c>
      <c r="I42">
        <f t="shared" ca="1" si="2"/>
        <v>-4.5999999999999999E-2</v>
      </c>
      <c r="O42" t="s">
        <v>8</v>
      </c>
    </row>
    <row r="43" spans="1:15" x14ac:dyDescent="0.3">
      <c r="A43" t="s">
        <v>117</v>
      </c>
      <c r="D43" t="s">
        <v>73</v>
      </c>
      <c r="E43">
        <v>1</v>
      </c>
      <c r="F43" t="s">
        <v>12</v>
      </c>
      <c r="G43">
        <v>1</v>
      </c>
      <c r="I43">
        <f t="shared" ca="1" si="2"/>
        <v>0.373</v>
      </c>
      <c r="O43" t="s">
        <v>8</v>
      </c>
    </row>
    <row r="44" spans="1:15" x14ac:dyDescent="0.3">
      <c r="A44" t="s">
        <v>118</v>
      </c>
      <c r="D44" t="s">
        <v>73</v>
      </c>
      <c r="E44">
        <v>1</v>
      </c>
      <c r="F44" t="s">
        <v>12</v>
      </c>
      <c r="G44">
        <v>1</v>
      </c>
      <c r="I44">
        <f t="shared" ca="1" si="2"/>
        <v>-1.0760000000000001</v>
      </c>
      <c r="O44" t="s">
        <v>8</v>
      </c>
    </row>
    <row r="45" spans="1:15" x14ac:dyDescent="0.3">
      <c r="A45" t="s">
        <v>119</v>
      </c>
      <c r="D45" t="s">
        <v>73</v>
      </c>
      <c r="E45">
        <v>1</v>
      </c>
      <c r="F45" t="s">
        <v>12</v>
      </c>
      <c r="G45">
        <v>1</v>
      </c>
      <c r="I45">
        <f t="shared" ca="1" si="2"/>
        <v>-1.194</v>
      </c>
      <c r="O45" t="s">
        <v>8</v>
      </c>
    </row>
    <row r="46" spans="1:15" x14ac:dyDescent="0.3">
      <c r="A46" t="s">
        <v>120</v>
      </c>
      <c r="D46" t="s">
        <v>73</v>
      </c>
      <c r="E46">
        <v>1</v>
      </c>
      <c r="F46" t="s">
        <v>12</v>
      </c>
      <c r="G46">
        <v>1</v>
      </c>
      <c r="I46">
        <f t="shared" ca="1" si="2"/>
        <v>0.61799999999999999</v>
      </c>
      <c r="O46" t="s">
        <v>8</v>
      </c>
    </row>
    <row r="47" spans="1:15" s="14" customFormat="1" x14ac:dyDescent="0.3">
      <c r="A47" s="14" t="s">
        <v>121</v>
      </c>
      <c r="D47" s="14" t="s">
        <v>73</v>
      </c>
      <c r="E47" s="14">
        <v>1</v>
      </c>
      <c r="F47" s="14" t="s">
        <v>12</v>
      </c>
      <c r="G47" s="14">
        <v>1</v>
      </c>
      <c r="I47" s="14">
        <f ca="1">ROUND(NORMINV(RAND(),1,1),3)</f>
        <v>0.67700000000000005</v>
      </c>
      <c r="O47" s="14" t="s">
        <v>58</v>
      </c>
    </row>
    <row r="48" spans="1:15" s="14" customFormat="1" x14ac:dyDescent="0.3">
      <c r="A48" s="14" t="s">
        <v>122</v>
      </c>
      <c r="D48" s="14" t="s">
        <v>73</v>
      </c>
      <c r="E48" s="14">
        <v>1</v>
      </c>
      <c r="F48" s="14" t="s">
        <v>12</v>
      </c>
      <c r="G48" s="14">
        <v>1</v>
      </c>
      <c r="I48" s="14">
        <f t="shared" ref="I48:I61" ca="1" si="3">ROUND(NORMINV(RAND(),1,1),3)</f>
        <v>0.47099999999999997</v>
      </c>
      <c r="O48" s="14" t="s">
        <v>58</v>
      </c>
    </row>
    <row r="49" spans="1:15" s="14" customFormat="1" x14ac:dyDescent="0.3">
      <c r="A49" s="14" t="s">
        <v>123</v>
      </c>
      <c r="D49" s="14" t="s">
        <v>73</v>
      </c>
      <c r="E49" s="14">
        <v>1</v>
      </c>
      <c r="F49" s="14" t="s">
        <v>12</v>
      </c>
      <c r="G49" s="14">
        <v>1</v>
      </c>
      <c r="I49" s="14">
        <f t="shared" ca="1" si="3"/>
        <v>8.4000000000000005E-2</v>
      </c>
      <c r="O49" s="14" t="s">
        <v>58</v>
      </c>
    </row>
    <row r="50" spans="1:15" s="14" customFormat="1" x14ac:dyDescent="0.3">
      <c r="A50" s="14" t="s">
        <v>124</v>
      </c>
      <c r="D50" s="14" t="s">
        <v>73</v>
      </c>
      <c r="E50" s="14">
        <v>1</v>
      </c>
      <c r="F50" s="14" t="s">
        <v>12</v>
      </c>
      <c r="G50" s="14">
        <v>1</v>
      </c>
      <c r="I50" s="14">
        <f t="shared" ca="1" si="3"/>
        <v>2.0619999999999998</v>
      </c>
      <c r="O50" s="14" t="s">
        <v>58</v>
      </c>
    </row>
    <row r="51" spans="1:15" s="14" customFormat="1" x14ac:dyDescent="0.3">
      <c r="A51" s="14" t="s">
        <v>125</v>
      </c>
      <c r="D51" s="14" t="s">
        <v>73</v>
      </c>
      <c r="E51" s="14">
        <v>1</v>
      </c>
      <c r="F51" s="14" t="s">
        <v>12</v>
      </c>
      <c r="G51" s="14">
        <v>1</v>
      </c>
      <c r="I51" s="14">
        <f t="shared" ca="1" si="3"/>
        <v>1.0580000000000001</v>
      </c>
      <c r="O51" s="14" t="s">
        <v>58</v>
      </c>
    </row>
    <row r="52" spans="1:15" s="14" customFormat="1" x14ac:dyDescent="0.3">
      <c r="A52" s="14" t="s">
        <v>126</v>
      </c>
      <c r="D52" s="14" t="s">
        <v>73</v>
      </c>
      <c r="E52" s="14">
        <v>1</v>
      </c>
      <c r="F52" s="14" t="s">
        <v>12</v>
      </c>
      <c r="G52" s="14">
        <v>1</v>
      </c>
      <c r="I52" s="14">
        <f t="shared" ca="1" si="3"/>
        <v>0.68500000000000005</v>
      </c>
      <c r="O52" s="14" t="s">
        <v>58</v>
      </c>
    </row>
    <row r="53" spans="1:15" s="14" customFormat="1" x14ac:dyDescent="0.3">
      <c r="A53" s="14" t="s">
        <v>127</v>
      </c>
      <c r="D53" s="14" t="s">
        <v>73</v>
      </c>
      <c r="E53" s="14">
        <v>1</v>
      </c>
      <c r="F53" s="14" t="s">
        <v>12</v>
      </c>
      <c r="G53" s="14">
        <v>1</v>
      </c>
      <c r="I53" s="14">
        <f t="shared" ca="1" si="3"/>
        <v>1.5229999999999999</v>
      </c>
      <c r="O53" s="14" t="s">
        <v>58</v>
      </c>
    </row>
    <row r="54" spans="1:15" s="14" customFormat="1" x14ac:dyDescent="0.3">
      <c r="A54" s="14" t="s">
        <v>128</v>
      </c>
      <c r="D54" s="14" t="s">
        <v>73</v>
      </c>
      <c r="E54" s="14">
        <v>1</v>
      </c>
      <c r="F54" s="14" t="s">
        <v>12</v>
      </c>
      <c r="G54" s="14">
        <v>1</v>
      </c>
      <c r="I54" s="14">
        <f t="shared" ca="1" si="3"/>
        <v>1.2450000000000001</v>
      </c>
      <c r="O54" s="14" t="s">
        <v>58</v>
      </c>
    </row>
    <row r="55" spans="1:15" s="14" customFormat="1" x14ac:dyDescent="0.3">
      <c r="A55" s="14" t="s">
        <v>129</v>
      </c>
      <c r="D55" s="14" t="s">
        <v>73</v>
      </c>
      <c r="E55" s="14">
        <v>1</v>
      </c>
      <c r="F55" s="14" t="s">
        <v>12</v>
      </c>
      <c r="G55" s="14">
        <v>1</v>
      </c>
      <c r="I55" s="14">
        <f t="shared" ca="1" si="3"/>
        <v>-8.7999999999999995E-2</v>
      </c>
      <c r="O55" s="14" t="s">
        <v>58</v>
      </c>
    </row>
    <row r="56" spans="1:15" s="14" customFormat="1" x14ac:dyDescent="0.3">
      <c r="A56" s="14" t="s">
        <v>130</v>
      </c>
      <c r="D56" s="14" t="s">
        <v>73</v>
      </c>
      <c r="E56" s="14">
        <v>1</v>
      </c>
      <c r="F56" s="14" t="s">
        <v>12</v>
      </c>
      <c r="G56" s="14">
        <v>1</v>
      </c>
      <c r="I56" s="14">
        <f t="shared" ca="1" si="3"/>
        <v>1.07</v>
      </c>
      <c r="O56" s="14" t="s">
        <v>58</v>
      </c>
    </row>
    <row r="57" spans="1:15" s="14" customFormat="1" x14ac:dyDescent="0.3">
      <c r="A57" s="14" t="s">
        <v>131</v>
      </c>
      <c r="D57" s="14" t="s">
        <v>73</v>
      </c>
      <c r="E57" s="14">
        <v>1</v>
      </c>
      <c r="F57" s="14" t="s">
        <v>12</v>
      </c>
      <c r="G57" s="14">
        <v>1</v>
      </c>
      <c r="I57" s="14">
        <f t="shared" ca="1" si="3"/>
        <v>4.8000000000000001E-2</v>
      </c>
      <c r="O57" s="14" t="s">
        <v>58</v>
      </c>
    </row>
    <row r="58" spans="1:15" s="14" customFormat="1" x14ac:dyDescent="0.3">
      <c r="A58" s="14" t="s">
        <v>132</v>
      </c>
      <c r="D58" s="14" t="s">
        <v>73</v>
      </c>
      <c r="E58" s="14">
        <v>1</v>
      </c>
      <c r="F58" s="14" t="s">
        <v>12</v>
      </c>
      <c r="G58" s="14">
        <v>1</v>
      </c>
      <c r="I58" s="14">
        <f t="shared" ca="1" si="3"/>
        <v>-0.21199999999999999</v>
      </c>
      <c r="O58" s="14" t="s">
        <v>58</v>
      </c>
    </row>
    <row r="59" spans="1:15" s="14" customFormat="1" x14ac:dyDescent="0.3">
      <c r="A59" s="14" t="s">
        <v>133</v>
      </c>
      <c r="D59" s="14" t="s">
        <v>73</v>
      </c>
      <c r="E59" s="14">
        <v>1</v>
      </c>
      <c r="F59" s="14" t="s">
        <v>12</v>
      </c>
      <c r="G59" s="14">
        <v>1</v>
      </c>
      <c r="I59" s="14">
        <f t="shared" ca="1" si="3"/>
        <v>0.27700000000000002</v>
      </c>
      <c r="O59" s="14" t="s">
        <v>58</v>
      </c>
    </row>
    <row r="60" spans="1:15" s="14" customFormat="1" x14ac:dyDescent="0.3">
      <c r="A60" s="14" t="s">
        <v>134</v>
      </c>
      <c r="D60" s="14" t="s">
        <v>73</v>
      </c>
      <c r="E60" s="14">
        <v>1</v>
      </c>
      <c r="F60" s="14" t="s">
        <v>12</v>
      </c>
      <c r="G60" s="14">
        <v>1</v>
      </c>
      <c r="I60" s="14">
        <f t="shared" ca="1" si="3"/>
        <v>1.41</v>
      </c>
      <c r="O60" s="14" t="s">
        <v>58</v>
      </c>
    </row>
    <row r="61" spans="1:15" s="14" customFormat="1" x14ac:dyDescent="0.3">
      <c r="A61" s="14" t="s">
        <v>135</v>
      </c>
      <c r="D61" s="14" t="s">
        <v>73</v>
      </c>
      <c r="E61" s="14">
        <v>1</v>
      </c>
      <c r="F61" s="14" t="s">
        <v>12</v>
      </c>
      <c r="G61" s="14">
        <v>1</v>
      </c>
      <c r="I61" s="14">
        <f t="shared" ca="1" si="3"/>
        <v>0.80100000000000005</v>
      </c>
      <c r="O61" s="14" t="s">
        <v>58</v>
      </c>
    </row>
  </sheetData>
  <phoneticPr fontId="18"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zoomScaleNormal="100" workbookViewId="0">
      <pane ySplit="1" topLeftCell="A2" activePane="bottomLeft" state="frozen"/>
      <selection pane="bottomLeft" activeCell="F22" sqref="F22"/>
    </sheetView>
  </sheetViews>
  <sheetFormatPr defaultRowHeight="14.4" x14ac:dyDescent="0.3"/>
  <cols>
    <col min="1" max="1" width="15.77734375" customWidth="1"/>
    <col min="2" max="2" width="23.109375" customWidth="1"/>
    <col min="3" max="3" width="19.77734375" bestFit="1" customWidth="1"/>
  </cols>
  <sheetData>
    <row r="1" spans="1:3" x14ac:dyDescent="0.3">
      <c r="A1" s="2" t="s">
        <v>25</v>
      </c>
      <c r="B1" s="2" t="s">
        <v>27</v>
      </c>
      <c r="C1" s="2" t="s">
        <v>28</v>
      </c>
    </row>
    <row r="2" spans="1:3" x14ac:dyDescent="0.3">
      <c r="A2" t="s">
        <v>41</v>
      </c>
      <c r="C2" t="s">
        <v>6</v>
      </c>
    </row>
    <row r="3" spans="1:3" x14ac:dyDescent="0.3">
      <c r="A3" t="s">
        <v>6</v>
      </c>
      <c r="B3" s="6" t="s">
        <v>59</v>
      </c>
      <c r="C3" t="s">
        <v>7</v>
      </c>
    </row>
    <row r="4" spans="1:3" x14ac:dyDescent="0.3">
      <c r="A4" t="s">
        <v>6</v>
      </c>
      <c r="B4" s="6" t="s">
        <v>61</v>
      </c>
      <c r="C4" t="s">
        <v>8</v>
      </c>
    </row>
    <row r="5" spans="1:3" x14ac:dyDescent="0.3">
      <c r="A5" t="s">
        <v>6</v>
      </c>
      <c r="B5" s="6" t="s">
        <v>60</v>
      </c>
      <c r="C5" t="s">
        <v>58</v>
      </c>
    </row>
    <row r="6" spans="1:3" x14ac:dyDescent="0.3">
      <c r="A6" t="s">
        <v>7</v>
      </c>
      <c r="C6" t="s">
        <v>26</v>
      </c>
    </row>
    <row r="7" spans="1:3" x14ac:dyDescent="0.3">
      <c r="A7" t="s">
        <v>8</v>
      </c>
      <c r="C7" t="s">
        <v>26</v>
      </c>
    </row>
    <row r="8" spans="1:3" x14ac:dyDescent="0.3">
      <c r="A8" t="s">
        <v>58</v>
      </c>
      <c r="C8" t="s">
        <v>26</v>
      </c>
    </row>
    <row r="25" spans="6:6" x14ac:dyDescent="0.3">
      <c r="F25" t="s">
        <v>43</v>
      </c>
    </row>
  </sheetData>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zoomScaleNormal="100" workbookViewId="0">
      <pane ySplit="1" topLeftCell="A2" activePane="bottomLeft" state="frozen"/>
      <selection pane="bottomLeft" activeCell="G1" sqref="G1"/>
    </sheetView>
  </sheetViews>
  <sheetFormatPr defaultRowHeight="14.4" x14ac:dyDescent="0.3"/>
  <cols>
    <col min="1" max="1" width="38.33203125" customWidth="1"/>
    <col min="2" max="2" width="15" style="5" bestFit="1" customWidth="1"/>
    <col min="3" max="3" width="14.77734375" style="5" bestFit="1" customWidth="1"/>
    <col min="4" max="4" width="10.109375" customWidth="1"/>
    <col min="5" max="5" width="18.6640625" bestFit="1" customWidth="1"/>
    <col min="6" max="6" width="18.21875" bestFit="1" customWidth="1"/>
    <col min="7" max="7" width="14" bestFit="1" customWidth="1"/>
    <col min="8" max="8" width="8.44140625" customWidth="1"/>
    <col min="11" max="11" width="9" style="10" bestFit="1" customWidth="1"/>
    <col min="12" max="12" width="15.109375" bestFit="1" customWidth="1"/>
  </cols>
  <sheetData>
    <row r="1" spans="1:12" x14ac:dyDescent="0.3">
      <c r="A1" s="4" t="s">
        <v>13</v>
      </c>
      <c r="B1" s="7" t="s">
        <v>19</v>
      </c>
      <c r="C1" s="7" t="s">
        <v>48</v>
      </c>
      <c r="D1" s="1" t="s">
        <v>14</v>
      </c>
      <c r="E1" s="1" t="s">
        <v>47</v>
      </c>
      <c r="F1" s="1" t="s">
        <v>46</v>
      </c>
      <c r="G1" s="1" t="s">
        <v>15</v>
      </c>
      <c r="H1" s="1" t="s">
        <v>20</v>
      </c>
      <c r="I1" s="1" t="s">
        <v>16</v>
      </c>
      <c r="J1" s="1" t="s">
        <v>17</v>
      </c>
      <c r="K1" s="9" t="s">
        <v>0</v>
      </c>
      <c r="L1" s="13" t="s">
        <v>52</v>
      </c>
    </row>
    <row r="2" spans="1:12" x14ac:dyDescent="0.3">
      <c r="A2" t="s">
        <v>31</v>
      </c>
      <c r="D2" t="s">
        <v>18</v>
      </c>
      <c r="F2" s="3" t="s">
        <v>69</v>
      </c>
    </row>
    <row r="3" spans="1:12" x14ac:dyDescent="0.3">
      <c r="A3" s="6" t="s">
        <v>30</v>
      </c>
      <c r="B3" s="8" t="s">
        <v>62</v>
      </c>
      <c r="C3" s="8"/>
      <c r="D3" s="6"/>
      <c r="E3" s="6"/>
      <c r="F3" s="6"/>
      <c r="G3" s="6"/>
      <c r="H3" s="6"/>
      <c r="I3" s="6"/>
      <c r="J3" s="6"/>
    </row>
    <row r="4" spans="1:12" x14ac:dyDescent="0.3">
      <c r="A4" s="6" t="s">
        <v>74</v>
      </c>
      <c r="B4" s="8" t="s">
        <v>75</v>
      </c>
      <c r="C4" s="8"/>
      <c r="D4" s="6"/>
      <c r="E4" s="6"/>
      <c r="F4" s="6"/>
      <c r="G4" s="6"/>
      <c r="H4" s="6"/>
      <c r="I4" s="6"/>
      <c r="J4" s="6"/>
    </row>
    <row r="5" spans="1:12" x14ac:dyDescent="0.3">
      <c r="A5" t="s">
        <v>63</v>
      </c>
      <c r="C5" s="8"/>
      <c r="D5" s="6"/>
      <c r="E5" s="6"/>
      <c r="F5" s="6"/>
      <c r="G5" s="6"/>
      <c r="H5" s="6"/>
      <c r="I5" s="6"/>
      <c r="J5" s="6"/>
    </row>
    <row r="6" spans="1:12" x14ac:dyDescent="0.3">
      <c r="A6" t="s">
        <v>64</v>
      </c>
      <c r="B6" s="12">
        <v>0.55000000000000004</v>
      </c>
      <c r="C6" s="8"/>
      <c r="D6" s="6"/>
      <c r="E6" s="6"/>
      <c r="F6" s="6"/>
      <c r="G6" s="6"/>
      <c r="H6" s="6"/>
      <c r="I6" s="6"/>
      <c r="J6" s="6"/>
    </row>
    <row r="7" spans="1:12" x14ac:dyDescent="0.3">
      <c r="A7" t="s">
        <v>65</v>
      </c>
      <c r="C7" s="8"/>
      <c r="D7" s="6"/>
      <c r="I7" s="6"/>
      <c r="J7" s="6"/>
    </row>
    <row r="8" spans="1:12" x14ac:dyDescent="0.3">
      <c r="A8" t="s">
        <v>66</v>
      </c>
      <c r="B8" s="12"/>
      <c r="C8" s="8"/>
      <c r="I8" s="6"/>
      <c r="J8" s="6"/>
      <c r="K8"/>
    </row>
    <row r="9" spans="1:12" x14ac:dyDescent="0.3">
      <c r="A9" t="s">
        <v>67</v>
      </c>
      <c r="C9" s="8"/>
      <c r="F9" s="3"/>
      <c r="K9"/>
    </row>
    <row r="10" spans="1:12" x14ac:dyDescent="0.3">
      <c r="C10" s="8"/>
      <c r="D10" s="6"/>
      <c r="I10" s="6"/>
      <c r="J10" s="6"/>
    </row>
    <row r="11" spans="1:12" x14ac:dyDescent="0.3">
      <c r="C11" s="8"/>
      <c r="D11" s="6"/>
      <c r="I11" s="6"/>
      <c r="J11" s="6"/>
    </row>
    <row r="12" spans="1:12" x14ac:dyDescent="0.3">
      <c r="C12" s="8"/>
      <c r="D12" s="6"/>
      <c r="I12" s="6"/>
      <c r="J12" s="6"/>
    </row>
  </sheetData>
  <phoneticPr fontId="18"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43079-B357-4990-8A36-6C3BFEA06D2D}">
  <dimension ref="A1:L12"/>
  <sheetViews>
    <sheetView zoomScaleNormal="100" workbookViewId="0">
      <pane ySplit="1" topLeftCell="A2" activePane="bottomLeft" state="frozen"/>
      <selection pane="bottomLeft" activeCell="G1" sqref="G1"/>
    </sheetView>
  </sheetViews>
  <sheetFormatPr defaultRowHeight="14.4" x14ac:dyDescent="0.3"/>
  <cols>
    <col min="1" max="1" width="38.33203125" customWidth="1"/>
    <col min="2" max="2" width="15" style="5" bestFit="1" customWidth="1"/>
    <col min="3" max="3" width="14.77734375" style="5" bestFit="1" customWidth="1"/>
    <col min="4" max="4" width="10.109375" customWidth="1"/>
    <col min="5" max="5" width="18.6640625" bestFit="1" customWidth="1"/>
    <col min="6" max="6" width="18.21875" bestFit="1" customWidth="1"/>
    <col min="7" max="7" width="14" bestFit="1" customWidth="1"/>
    <col min="8" max="8" width="8.44140625" customWidth="1"/>
    <col min="11" max="11" width="9" style="10" bestFit="1" customWidth="1"/>
    <col min="12" max="12" width="15.109375" bestFit="1" customWidth="1"/>
  </cols>
  <sheetData>
    <row r="1" spans="1:12" x14ac:dyDescent="0.3">
      <c r="A1" s="4" t="s">
        <v>13</v>
      </c>
      <c r="B1" s="7" t="s">
        <v>19</v>
      </c>
      <c r="C1" s="7" t="s">
        <v>48</v>
      </c>
      <c r="D1" s="1" t="s">
        <v>14</v>
      </c>
      <c r="E1" s="1" t="s">
        <v>47</v>
      </c>
      <c r="F1" s="1" t="s">
        <v>46</v>
      </c>
      <c r="G1" s="1" t="s">
        <v>15</v>
      </c>
      <c r="H1" s="1" t="s">
        <v>20</v>
      </c>
      <c r="I1" s="1" t="s">
        <v>16</v>
      </c>
      <c r="J1" s="1" t="s">
        <v>17</v>
      </c>
      <c r="K1" s="9" t="s">
        <v>0</v>
      </c>
      <c r="L1" s="13" t="s">
        <v>52</v>
      </c>
    </row>
    <row r="2" spans="1:12" x14ac:dyDescent="0.3">
      <c r="A2" t="s">
        <v>31</v>
      </c>
      <c r="D2" t="s">
        <v>18</v>
      </c>
      <c r="F2" s="3" t="s">
        <v>70</v>
      </c>
    </row>
    <row r="3" spans="1:12" x14ac:dyDescent="0.3">
      <c r="A3" s="6" t="s">
        <v>30</v>
      </c>
      <c r="B3" s="8" t="s">
        <v>62</v>
      </c>
      <c r="C3" s="8"/>
      <c r="D3" s="6"/>
      <c r="E3" s="6"/>
      <c r="F3" s="6"/>
      <c r="G3" s="6"/>
      <c r="H3" s="6"/>
      <c r="I3" s="6"/>
      <c r="J3" s="6"/>
    </row>
    <row r="4" spans="1:12" x14ac:dyDescent="0.3">
      <c r="A4" s="6" t="s">
        <v>74</v>
      </c>
      <c r="B4" s="8" t="s">
        <v>75</v>
      </c>
      <c r="C4" s="8"/>
      <c r="D4" s="6"/>
      <c r="E4" s="6"/>
      <c r="F4" s="6"/>
      <c r="G4" s="6"/>
      <c r="H4" s="6"/>
      <c r="I4" s="6"/>
      <c r="J4" s="6"/>
    </row>
    <row r="5" spans="1:12" x14ac:dyDescent="0.3">
      <c r="A5" t="s">
        <v>63</v>
      </c>
      <c r="C5" s="8"/>
      <c r="D5" s="6"/>
      <c r="E5" s="6"/>
      <c r="F5" s="6"/>
      <c r="G5" s="6"/>
      <c r="H5" s="6"/>
      <c r="I5" s="6"/>
      <c r="J5" s="6"/>
    </row>
    <row r="6" spans="1:12" x14ac:dyDescent="0.3">
      <c r="A6" t="s">
        <v>64</v>
      </c>
      <c r="B6" s="12">
        <v>0.45</v>
      </c>
      <c r="C6" s="8"/>
      <c r="D6" s="6"/>
      <c r="E6" s="6"/>
      <c r="F6" s="6"/>
      <c r="G6" s="6"/>
      <c r="H6" s="6"/>
      <c r="I6" s="6"/>
      <c r="J6" s="6"/>
    </row>
    <row r="7" spans="1:12" x14ac:dyDescent="0.3">
      <c r="A7" t="s">
        <v>65</v>
      </c>
      <c r="C7" s="8"/>
      <c r="D7" s="6"/>
      <c r="I7" s="6"/>
      <c r="J7" s="6"/>
    </row>
    <row r="8" spans="1:12" x14ac:dyDescent="0.3">
      <c r="A8" t="s">
        <v>66</v>
      </c>
      <c r="B8" s="12"/>
      <c r="C8" s="8"/>
      <c r="I8" s="6"/>
      <c r="J8" s="6"/>
      <c r="K8"/>
    </row>
    <row r="9" spans="1:12" x14ac:dyDescent="0.3">
      <c r="A9" t="s">
        <v>67</v>
      </c>
      <c r="C9" s="8"/>
      <c r="F9" s="3"/>
      <c r="K9"/>
    </row>
    <row r="10" spans="1:12" x14ac:dyDescent="0.3">
      <c r="C10" s="8"/>
      <c r="D10" s="6"/>
      <c r="I10" s="6"/>
      <c r="J10" s="6"/>
    </row>
    <row r="11" spans="1:12" x14ac:dyDescent="0.3">
      <c r="C11" s="8"/>
      <c r="D11" s="6"/>
      <c r="I11" s="6"/>
      <c r="J11" s="6"/>
    </row>
    <row r="12" spans="1:12" x14ac:dyDescent="0.3">
      <c r="C12" s="8"/>
      <c r="D12" s="6"/>
      <c r="I12" s="6"/>
      <c r="J12" s="6"/>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C41A7-813C-4338-9137-8FD7C8F44182}">
  <dimension ref="A1:L12"/>
  <sheetViews>
    <sheetView zoomScaleNormal="100" workbookViewId="0">
      <pane ySplit="1" topLeftCell="A2" activePane="bottomLeft" state="frozen"/>
      <selection pane="bottomLeft" activeCell="G1" sqref="G1"/>
    </sheetView>
  </sheetViews>
  <sheetFormatPr defaultRowHeight="14.4" x14ac:dyDescent="0.3"/>
  <cols>
    <col min="1" max="1" width="38.33203125" customWidth="1"/>
    <col min="2" max="2" width="15" style="5" bestFit="1" customWidth="1"/>
    <col min="3" max="3" width="14.77734375" style="5" bestFit="1" customWidth="1"/>
    <col min="4" max="4" width="10.109375" customWidth="1"/>
    <col min="5" max="5" width="18.6640625" bestFit="1" customWidth="1"/>
    <col min="6" max="6" width="18.21875" bestFit="1" customWidth="1"/>
    <col min="7" max="7" width="14" bestFit="1" customWidth="1"/>
    <col min="8" max="8" width="8.44140625" customWidth="1"/>
    <col min="11" max="11" width="9" style="10" bestFit="1" customWidth="1"/>
    <col min="12" max="12" width="15.109375" bestFit="1" customWidth="1"/>
  </cols>
  <sheetData>
    <row r="1" spans="1:12" x14ac:dyDescent="0.3">
      <c r="A1" s="4" t="s">
        <v>13</v>
      </c>
      <c r="B1" s="7" t="s">
        <v>19</v>
      </c>
      <c r="C1" s="7" t="s">
        <v>48</v>
      </c>
      <c r="D1" s="1" t="s">
        <v>14</v>
      </c>
      <c r="E1" s="1" t="s">
        <v>47</v>
      </c>
      <c r="F1" s="1" t="s">
        <v>46</v>
      </c>
      <c r="G1" s="1" t="s">
        <v>15</v>
      </c>
      <c r="H1" s="1" t="s">
        <v>20</v>
      </c>
      <c r="I1" s="1" t="s">
        <v>16</v>
      </c>
      <c r="J1" s="1" t="s">
        <v>17</v>
      </c>
      <c r="K1" s="9" t="s">
        <v>0</v>
      </c>
      <c r="L1" s="13" t="s">
        <v>52</v>
      </c>
    </row>
    <row r="2" spans="1:12" x14ac:dyDescent="0.3">
      <c r="A2" t="s">
        <v>31</v>
      </c>
      <c r="D2" t="s">
        <v>18</v>
      </c>
      <c r="F2" s="3" t="s">
        <v>71</v>
      </c>
    </row>
    <row r="3" spans="1:12" x14ac:dyDescent="0.3">
      <c r="A3" s="6" t="s">
        <v>30</v>
      </c>
      <c r="B3" s="8" t="s">
        <v>62</v>
      </c>
      <c r="C3" s="8"/>
      <c r="D3" s="6"/>
      <c r="E3" s="6"/>
      <c r="F3" s="6"/>
      <c r="G3" s="6"/>
      <c r="H3" s="6"/>
      <c r="I3" s="6"/>
      <c r="J3" s="6"/>
    </row>
    <row r="4" spans="1:12" x14ac:dyDescent="0.3">
      <c r="A4" s="6" t="s">
        <v>74</v>
      </c>
      <c r="B4" s="8" t="s">
        <v>75</v>
      </c>
      <c r="C4" s="8"/>
      <c r="D4" s="6"/>
      <c r="E4" s="6"/>
      <c r="F4" s="6"/>
      <c r="G4" s="6"/>
      <c r="H4" s="6"/>
      <c r="I4" s="6"/>
      <c r="J4" s="6"/>
    </row>
    <row r="5" spans="1:12" x14ac:dyDescent="0.3">
      <c r="A5" t="s">
        <v>63</v>
      </c>
      <c r="C5" s="8"/>
      <c r="D5" s="6"/>
      <c r="E5" s="6"/>
      <c r="F5" s="6"/>
      <c r="G5" s="6"/>
      <c r="H5" s="6"/>
      <c r="I5" s="6"/>
      <c r="J5" s="6"/>
    </row>
    <row r="6" spans="1:12" x14ac:dyDescent="0.3">
      <c r="A6" t="s">
        <v>64</v>
      </c>
      <c r="B6" s="12">
        <v>0.45</v>
      </c>
      <c r="C6" s="8"/>
      <c r="D6" s="6"/>
      <c r="E6" s="6"/>
      <c r="F6" s="6"/>
      <c r="G6" s="6"/>
      <c r="H6" s="6"/>
      <c r="I6" s="6"/>
      <c r="J6" s="6"/>
    </row>
    <row r="7" spans="1:12" x14ac:dyDescent="0.3">
      <c r="A7" t="s">
        <v>65</v>
      </c>
      <c r="C7" s="8"/>
      <c r="D7" s="6"/>
      <c r="I7" s="6"/>
      <c r="J7" s="6"/>
    </row>
    <row r="8" spans="1:12" x14ac:dyDescent="0.3">
      <c r="A8" t="s">
        <v>66</v>
      </c>
      <c r="B8" s="12"/>
      <c r="C8" s="8"/>
      <c r="I8" s="6"/>
      <c r="J8" s="6"/>
      <c r="K8"/>
    </row>
    <row r="9" spans="1:12" x14ac:dyDescent="0.3">
      <c r="A9" t="s">
        <v>67</v>
      </c>
      <c r="C9" s="8"/>
      <c r="F9" s="3"/>
      <c r="K9"/>
    </row>
    <row r="10" spans="1:12" x14ac:dyDescent="0.3">
      <c r="C10" s="8"/>
      <c r="D10" s="6"/>
      <c r="I10" s="6"/>
      <c r="J10" s="6"/>
    </row>
    <row r="11" spans="1:12" x14ac:dyDescent="0.3">
      <c r="C11" s="8"/>
      <c r="D11" s="6"/>
      <c r="I11" s="6"/>
      <c r="J11" s="6"/>
    </row>
    <row r="12" spans="1:12" x14ac:dyDescent="0.3">
      <c r="C12" s="8"/>
      <c r="D12" s="6"/>
      <c r="I12" s="6"/>
      <c r="J12" s="6"/>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1C395-5F59-4370-A3E6-F85C0E761B76}">
  <dimension ref="A1:L12"/>
  <sheetViews>
    <sheetView zoomScaleNormal="100" workbookViewId="0">
      <pane ySplit="1" topLeftCell="A2" activePane="bottomLeft" state="frozen"/>
      <selection pane="bottomLeft" activeCell="D23" sqref="D23"/>
    </sheetView>
  </sheetViews>
  <sheetFormatPr defaultRowHeight="14.4" x14ac:dyDescent="0.3"/>
  <cols>
    <col min="1" max="1" width="38.33203125" customWidth="1"/>
    <col min="2" max="2" width="15" style="5" bestFit="1" customWidth="1"/>
    <col min="3" max="3" width="14.77734375" style="5" bestFit="1" customWidth="1"/>
    <col min="4" max="4" width="10.109375" customWidth="1"/>
    <col min="5" max="5" width="18.6640625" bestFit="1" customWidth="1"/>
    <col min="6" max="6" width="18.21875" bestFit="1" customWidth="1"/>
    <col min="7" max="7" width="14" bestFit="1" customWidth="1"/>
    <col min="8" max="8" width="8.44140625" customWidth="1"/>
    <col min="11" max="11" width="9" style="10" bestFit="1" customWidth="1"/>
    <col min="12" max="12" width="15.109375" bestFit="1" customWidth="1"/>
  </cols>
  <sheetData>
    <row r="1" spans="1:12" x14ac:dyDescent="0.3">
      <c r="A1" s="4" t="s">
        <v>13</v>
      </c>
      <c r="B1" s="7" t="s">
        <v>19</v>
      </c>
      <c r="C1" s="7" t="s">
        <v>48</v>
      </c>
      <c r="D1" s="1" t="s">
        <v>14</v>
      </c>
      <c r="E1" s="1" t="s">
        <v>47</v>
      </c>
      <c r="F1" s="1" t="s">
        <v>46</v>
      </c>
      <c r="G1" s="1" t="s">
        <v>15</v>
      </c>
      <c r="H1" s="1" t="s">
        <v>20</v>
      </c>
      <c r="I1" s="1" t="s">
        <v>16</v>
      </c>
      <c r="J1" s="1" t="s">
        <v>17</v>
      </c>
      <c r="K1" s="9" t="s">
        <v>0</v>
      </c>
      <c r="L1" s="13" t="s">
        <v>52</v>
      </c>
    </row>
    <row r="2" spans="1:12" x14ac:dyDescent="0.3">
      <c r="A2" t="s">
        <v>31</v>
      </c>
      <c r="D2" t="s">
        <v>18</v>
      </c>
      <c r="F2" s="3" t="s">
        <v>72</v>
      </c>
    </row>
    <row r="3" spans="1:12" x14ac:dyDescent="0.3">
      <c r="A3" s="6" t="s">
        <v>30</v>
      </c>
      <c r="B3" s="8" t="s">
        <v>62</v>
      </c>
      <c r="C3" s="8"/>
      <c r="D3" s="6"/>
      <c r="E3" s="6"/>
      <c r="F3" s="6"/>
      <c r="G3" s="6"/>
      <c r="H3" s="6"/>
      <c r="I3" s="6"/>
      <c r="J3" s="6"/>
    </row>
    <row r="4" spans="1:12" x14ac:dyDescent="0.3">
      <c r="A4" s="6" t="s">
        <v>74</v>
      </c>
      <c r="B4" s="8" t="s">
        <v>75</v>
      </c>
      <c r="C4" s="8"/>
      <c r="D4" s="6"/>
      <c r="E4" s="6"/>
      <c r="F4" s="6"/>
      <c r="G4" s="6"/>
      <c r="H4" s="6"/>
      <c r="I4" s="6"/>
      <c r="J4" s="6"/>
    </row>
    <row r="5" spans="1:12" x14ac:dyDescent="0.3">
      <c r="A5" t="s">
        <v>63</v>
      </c>
      <c r="C5" s="8"/>
      <c r="D5" s="6"/>
      <c r="E5" s="6"/>
      <c r="F5" s="6"/>
      <c r="G5" s="6"/>
      <c r="H5" s="6"/>
      <c r="I5" s="6"/>
      <c r="J5" s="6"/>
    </row>
    <row r="6" spans="1:12" x14ac:dyDescent="0.3">
      <c r="A6" t="s">
        <v>64</v>
      </c>
      <c r="B6" s="12">
        <v>0.45</v>
      </c>
      <c r="C6" s="8"/>
      <c r="D6" s="6"/>
      <c r="E6" s="6"/>
      <c r="F6" s="6"/>
      <c r="G6" s="6"/>
      <c r="H6" s="6"/>
      <c r="I6" s="6"/>
      <c r="J6" s="6"/>
    </row>
    <row r="7" spans="1:12" x14ac:dyDescent="0.3">
      <c r="A7" t="s">
        <v>65</v>
      </c>
      <c r="C7" s="8"/>
      <c r="D7" s="6"/>
      <c r="I7" s="6"/>
      <c r="J7" s="6"/>
    </row>
    <row r="8" spans="1:12" x14ac:dyDescent="0.3">
      <c r="A8" t="s">
        <v>66</v>
      </c>
      <c r="B8" s="12"/>
      <c r="C8" s="8"/>
      <c r="I8" s="6"/>
      <c r="J8" s="6"/>
      <c r="K8"/>
    </row>
    <row r="9" spans="1:12" x14ac:dyDescent="0.3">
      <c r="A9" t="s">
        <v>67</v>
      </c>
      <c r="C9" s="8"/>
      <c r="F9" s="3"/>
      <c r="K9"/>
    </row>
    <row r="10" spans="1:12" x14ac:dyDescent="0.3">
      <c r="C10" s="8"/>
      <c r="D10" s="6"/>
      <c r="I10" s="6"/>
      <c r="J10" s="6"/>
    </row>
    <row r="11" spans="1:12" x14ac:dyDescent="0.3">
      <c r="C11" s="8"/>
      <c r="D11" s="6"/>
      <c r="I11" s="6"/>
      <c r="J11" s="6"/>
    </row>
    <row r="12" spans="1:12" x14ac:dyDescent="0.3">
      <c r="C12" s="8"/>
      <c r="D12" s="6"/>
      <c r="I12" s="6"/>
      <c r="J12" s="6"/>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1A945-2FD9-4988-8DE3-E9C38BA1640D}">
  <dimension ref="A1:E23"/>
  <sheetViews>
    <sheetView workbookViewId="0">
      <selection activeCell="F14" sqref="F14"/>
    </sheetView>
  </sheetViews>
  <sheetFormatPr defaultRowHeight="14.4" x14ac:dyDescent="0.3"/>
  <cols>
    <col min="1" max="1" width="36" bestFit="1" customWidth="1"/>
    <col min="2" max="2" width="22.77734375" style="5" customWidth="1"/>
  </cols>
  <sheetData>
    <row r="1" spans="1:5" x14ac:dyDescent="0.3">
      <c r="A1" s="4" t="s">
        <v>13</v>
      </c>
      <c r="B1" s="11" t="s">
        <v>19</v>
      </c>
    </row>
    <row r="2" spans="1:5" x14ac:dyDescent="0.3">
      <c r="A2" s="6" t="s">
        <v>50</v>
      </c>
    </row>
    <row r="3" spans="1:5" x14ac:dyDescent="0.3">
      <c r="A3" t="s">
        <v>24</v>
      </c>
    </row>
    <row r="4" spans="1:5" x14ac:dyDescent="0.3">
      <c r="A4" t="s">
        <v>9</v>
      </c>
    </row>
    <row r="5" spans="1:5" x14ac:dyDescent="0.3">
      <c r="A5" t="s">
        <v>10</v>
      </c>
    </row>
    <row r="6" spans="1:5" x14ac:dyDescent="0.3">
      <c r="A6" t="s">
        <v>23</v>
      </c>
    </row>
    <row r="7" spans="1:5" x14ac:dyDescent="0.3">
      <c r="A7" t="s">
        <v>21</v>
      </c>
    </row>
    <row r="8" spans="1:5" x14ac:dyDescent="0.3">
      <c r="A8" t="s">
        <v>22</v>
      </c>
    </row>
    <row r="9" spans="1:5" x14ac:dyDescent="0.3">
      <c r="A9" s="6" t="s">
        <v>32</v>
      </c>
      <c r="E9" s="5"/>
    </row>
    <row r="10" spans="1:5" x14ac:dyDescent="0.3">
      <c r="A10" s="6" t="s">
        <v>29</v>
      </c>
      <c r="B10" s="8" t="s">
        <v>75</v>
      </c>
      <c r="E10" s="5"/>
    </row>
    <row r="11" spans="1:5" x14ac:dyDescent="0.3">
      <c r="A11" t="s">
        <v>38</v>
      </c>
      <c r="B11" s="8" t="s">
        <v>75</v>
      </c>
      <c r="E11" s="5"/>
    </row>
    <row r="12" spans="1:5" x14ac:dyDescent="0.3">
      <c r="A12" t="s">
        <v>39</v>
      </c>
      <c r="E12" s="5"/>
    </row>
    <row r="13" spans="1:5" x14ac:dyDescent="0.3">
      <c r="A13" t="s">
        <v>49</v>
      </c>
    </row>
    <row r="14" spans="1:5" x14ac:dyDescent="0.3">
      <c r="A14" t="s">
        <v>44</v>
      </c>
    </row>
    <row r="15" spans="1:5" x14ac:dyDescent="0.3">
      <c r="A15" t="s">
        <v>45</v>
      </c>
    </row>
    <row r="16" spans="1:5" x14ac:dyDescent="0.3">
      <c r="A16" t="s">
        <v>37</v>
      </c>
    </row>
    <row r="17" spans="1:2" x14ac:dyDescent="0.3">
      <c r="A17" t="s">
        <v>56</v>
      </c>
    </row>
    <row r="18" spans="1:2" x14ac:dyDescent="0.3">
      <c r="A18" t="s">
        <v>57</v>
      </c>
    </row>
    <row r="19" spans="1:2" x14ac:dyDescent="0.3">
      <c r="A19" t="s">
        <v>42</v>
      </c>
      <c r="B19" s="12"/>
    </row>
    <row r="20" spans="1:2" x14ac:dyDescent="0.3">
      <c r="A20" s="14" t="s">
        <v>55</v>
      </c>
      <c r="B20" s="15"/>
    </row>
    <row r="21" spans="1:2" x14ac:dyDescent="0.3">
      <c r="A21" s="14" t="s">
        <v>53</v>
      </c>
      <c r="B21" s="15"/>
    </row>
    <row r="22" spans="1:2" x14ac:dyDescent="0.3">
      <c r="A22" s="14" t="s">
        <v>54</v>
      </c>
      <c r="B22" s="16"/>
    </row>
    <row r="23" spans="1:2" x14ac:dyDescent="0.3">
      <c r="A23" t="s">
        <v>51</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Item Bank</vt:lpstr>
      <vt:lpstr>Test Section Design</vt:lpstr>
      <vt:lpstr>A</vt:lpstr>
      <vt:lpstr>B</vt:lpstr>
      <vt:lpstr>C</vt:lpstr>
      <vt:lpstr>D</vt:lpstr>
      <vt:lpstr>Test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 Li</dc:creator>
  <cp:lastModifiedBy>Jie Li</cp:lastModifiedBy>
  <dcterms:created xsi:type="dcterms:W3CDTF">2022-11-19T18:48:13Z</dcterms:created>
  <dcterms:modified xsi:type="dcterms:W3CDTF">2025-06-22T20:58:18Z</dcterms:modified>
</cp:coreProperties>
</file>
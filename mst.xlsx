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ieli\Downloads\OptimalCAT-2.4-windows\ocat-engine\data\"/>
    </mc:Choice>
  </mc:AlternateContent>
  <xr:revisionPtr revIDLastSave="0" documentId="13_ncr:1_{33EF2796-9DD0-4965-893F-8E2CF288B991}" xr6:coauthVersionLast="47" xr6:coauthVersionMax="47" xr10:uidLastSave="{00000000-0000-0000-0000-000000000000}"/>
  <bookViews>
    <workbookView xWindow="-108" yWindow="-108" windowWidth="23256" windowHeight="12456" tabRatio="684" activeTab="1" xr2:uid="{00000000-000D-0000-FFFF-FFFF00000000}"/>
  </bookViews>
  <sheets>
    <sheet name="Item Bank" sheetId="3" r:id="rId1"/>
    <sheet name="Test Section Design" sheetId="2" r:id="rId2"/>
    <sheet name="A" sheetId="5" r:id="rId3"/>
    <sheet name="B" sheetId="11" r:id="rId4"/>
    <sheet name="C" sheetId="12" r:id="rId5"/>
    <sheet name="D" sheetId="13" r:id="rId6"/>
    <sheet name="Test Settings" sheetId="7" r:id="rId7"/>
  </sheets>
  <definedNames>
    <definedName name="_xlnm._FilterDatabase" localSheetId="0" hidden="1">'Item Bank'!$A$1:$N$1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1" i="3" l="1"/>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9A0C3CCE-F545-4110-A869-E57DE86E77F4}">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B54B922A-FDD9-4471-A88A-908B12725365}">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FDDB0AC8-272E-4E95-AD2E-25732F6860AC}">
      <text>
        <r>
          <rPr>
            <sz val="9"/>
            <color indexed="81"/>
            <rFont val="Tahoma"/>
            <family val="2"/>
          </rPr>
          <t xml:space="preserve">CONSTRAINT ID, any unique string, no space allowed
</t>
        </r>
      </text>
    </comment>
    <comment ref="D1" authorId="0" shapeId="0" xr:uid="{84D6C21C-A48E-477F-8CA9-410B7E0382A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0C522C56-4CEE-48CD-BA61-D76509C85644}">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F0ED1D62-4D7C-4316-A507-48222AA48091}">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17548A83-6B13-441A-BD6A-EA3EB812233F}">
      <text>
        <r>
          <rPr>
            <sz val="9"/>
            <color indexed="81"/>
            <rFont val="Tahoma"/>
            <family val="2"/>
          </rPr>
          <t xml:space="preserve">CONSTRAINT types:
NUMBER
SUM
AVERAGE
ALL_OR_NONE
EXCLUDE
INCLUDE
ENEMY
* for APPLY=STM_TIM, only NUMBER is supported
</t>
        </r>
      </text>
    </comment>
    <comment ref="H1" authorId="0" shapeId="0" xr:uid="{32EE2248-9390-4F28-A694-F8609D2EFA27}">
      <text>
        <r>
          <rPr>
            <sz val="9"/>
            <color indexed="81"/>
            <rFont val="Tahoma"/>
            <family val="2"/>
          </rPr>
          <t>Additional column name for SUM and AVERAGE constraint defintion</t>
        </r>
      </text>
    </comment>
    <comment ref="I1" authorId="0" shapeId="0" xr:uid="{BCFF6027-8690-497B-8071-CAA8DDD4CAA8}">
      <text>
        <r>
          <rPr>
            <sz val="9"/>
            <color indexed="81"/>
            <rFont val="Tahoma"/>
            <family val="2"/>
          </rPr>
          <t>Lower Bound</t>
        </r>
      </text>
    </comment>
    <comment ref="J1" authorId="0" shapeId="0" xr:uid="{01DFB224-BEE8-435B-904F-73C12280E7F5}">
      <text>
        <r>
          <rPr>
            <sz val="9"/>
            <color indexed="81"/>
            <rFont val="Tahoma"/>
            <family val="2"/>
          </rPr>
          <t>Upper Bound</t>
        </r>
      </text>
    </comment>
    <comment ref="K1" authorId="0" shapeId="0" xr:uid="{05494B55-CE4D-47C7-8D3E-76A8A9CCAB29}">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947B46C2-8E42-4876-8FF8-C72D23EC93E7}">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A4C00EC1-ED1F-4E47-9C7C-2DA20AE40803}">
      <text>
        <r>
          <rPr>
            <sz val="9"/>
            <color indexed="81"/>
            <rFont val="Tahoma"/>
            <family val="2"/>
          </rPr>
          <t xml:space="preserve">filter items/stimuli for current section
</t>
        </r>
      </text>
    </comment>
    <comment ref="A3" authorId="0" shapeId="0" xr:uid="{A440EC68-F9E5-42F5-A69B-B7F8CD5B531B}">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4" authorId="0" shapeId="0" xr:uid="{804E8FBB-48EA-4D34-943F-C425392D3C32}">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5" authorId="1" shapeId="0" xr:uid="{302FBBA2-301B-43E1-A42E-D7402B5265A9}">
      <text>
        <r>
          <rPr>
            <sz val="9"/>
            <color indexed="81"/>
            <rFont val="Tahoma"/>
            <family val="2"/>
          </rPr>
          <t>The minimal number of OP items to administer before Section Termination Rules (SE and CT) could be applied to terminate the section.
Default (leave blank) is 0</t>
        </r>
      </text>
    </comment>
    <comment ref="A6" authorId="1" shapeId="0" xr:uid="{AF15FC6B-301F-4497-8CEF-315DFBDF80C9}">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7" authorId="1" shapeId="0" xr:uid="{BD9BD9D6-C0D2-441D-A626-D6A15EEE07FB}">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8" authorId="1" shapeId="0" xr:uid="{351D790C-2C2B-49E9-A074-2F1BDCCC5019}">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9" authorId="1" shapeId="0" xr:uid="{B8968C48-C560-427A-8F77-1A2195EF702E}">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0D1715CD-8823-483C-A4A8-61767212B049}">
      <text>
        <r>
          <rPr>
            <sz val="9"/>
            <color indexed="81"/>
            <rFont val="Tahoma"/>
            <family val="2"/>
          </rPr>
          <t xml:space="preserve">CONSTRAINT ID, any unique string, no space allowed
</t>
        </r>
      </text>
    </comment>
    <comment ref="D1" authorId="0" shapeId="0" xr:uid="{11BE6E15-9E94-4476-8932-8FBD2B57738D}">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6BC306FE-AC4B-4990-AA71-6E914CF7D139}">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098106B7-52E6-4D7B-8DC6-932B4D1C030F}">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20EEBBF5-318F-4939-8887-4C09CCA27495}">
      <text>
        <r>
          <rPr>
            <sz val="9"/>
            <color indexed="81"/>
            <rFont val="Tahoma"/>
            <family val="2"/>
          </rPr>
          <t xml:space="preserve">CONSTRAINT types:
NUMBER
SUM
AVERAGE
ALL_OR_NONE
EXCLUDE
INCLUDE
ENEMY
* for APPLY=STM_TIM, only NUMBER is supported
</t>
        </r>
      </text>
    </comment>
    <comment ref="H1" authorId="0" shapeId="0" xr:uid="{28951E80-DF45-455C-8D86-63695BCD7FFD}">
      <text>
        <r>
          <rPr>
            <sz val="9"/>
            <color indexed="81"/>
            <rFont val="Tahoma"/>
            <family val="2"/>
          </rPr>
          <t>Additional column name for SUM and AVERAGE constraint defintion</t>
        </r>
      </text>
    </comment>
    <comment ref="I1" authorId="0" shapeId="0" xr:uid="{37FF443C-01B3-4812-A297-57AFD303B321}">
      <text>
        <r>
          <rPr>
            <sz val="9"/>
            <color indexed="81"/>
            <rFont val="Tahoma"/>
            <family val="2"/>
          </rPr>
          <t>Lower Bound</t>
        </r>
      </text>
    </comment>
    <comment ref="J1" authorId="0" shapeId="0" xr:uid="{C3D01FA0-330E-4F7B-A28D-28DA2BA66120}">
      <text>
        <r>
          <rPr>
            <sz val="9"/>
            <color indexed="81"/>
            <rFont val="Tahoma"/>
            <family val="2"/>
          </rPr>
          <t>Upper Bound</t>
        </r>
      </text>
    </comment>
    <comment ref="K1" authorId="0" shapeId="0" xr:uid="{15A5E24F-ED08-4348-9CF7-1983B07E0F49}">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D79A469D-1C0D-431A-99CC-DF3E2EF6B0E6}">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E50ED43B-6A81-4258-B3E6-79C9C4F52042}">
      <text>
        <r>
          <rPr>
            <sz val="9"/>
            <color indexed="81"/>
            <rFont val="Tahoma"/>
            <family val="2"/>
          </rPr>
          <t xml:space="preserve">filter items/stimuli for current section
</t>
        </r>
      </text>
    </comment>
    <comment ref="A3" authorId="0" shapeId="0" xr:uid="{A21F18BD-13EF-4D7F-95F9-A5952F65E186}">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4" authorId="0" shapeId="0" xr:uid="{C300B7FE-AB8C-4EC4-81F2-AD133703A2BC}">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5" authorId="1" shapeId="0" xr:uid="{C91B0620-1EFD-4ED6-8A2E-D314179B921D}">
      <text>
        <r>
          <rPr>
            <sz val="9"/>
            <color indexed="81"/>
            <rFont val="Tahoma"/>
            <family val="2"/>
          </rPr>
          <t>The minimal number of OP items to administer before Section Termination Rules (SE and CT) could be applied to terminate the section.
Default (leave blank) is 0</t>
        </r>
      </text>
    </comment>
    <comment ref="A6" authorId="1" shapeId="0" xr:uid="{28629D25-F9E7-49BD-938C-82BE0319B890}">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7" authorId="1" shapeId="0" xr:uid="{BE8D58EA-F9B8-4743-8E1F-20390812F622}">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8" authorId="1" shapeId="0" xr:uid="{16107BC7-256B-4B27-962C-D5A5B940762B}">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9" authorId="1" shapeId="0" xr:uid="{2794826A-658A-40E9-BFE3-3CABDE812A47}">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93529542-5D15-4080-B938-33C69D1FB8DE}">
      <text>
        <r>
          <rPr>
            <sz val="9"/>
            <color indexed="81"/>
            <rFont val="Tahoma"/>
            <family val="2"/>
          </rPr>
          <t xml:space="preserve">CONSTRAINT ID, any unique string, no space allowed
</t>
        </r>
      </text>
    </comment>
    <comment ref="D1" authorId="0" shapeId="0" xr:uid="{08A5ADB1-AB83-4B72-9CD7-6B4352285975}">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B3147B14-ABE2-4EDF-BCA3-350347A4EC2F}">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9C475C34-9EB2-45F1-8AB2-18CCEB586293}">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FE99C2A0-6999-4882-9343-325D145BE81A}">
      <text>
        <r>
          <rPr>
            <sz val="9"/>
            <color indexed="81"/>
            <rFont val="Tahoma"/>
            <family val="2"/>
          </rPr>
          <t xml:space="preserve">CONSTRAINT types:
NUMBER
SUM
AVERAGE
ALL_OR_NONE
EXCLUDE
INCLUDE
ENEMY
* for APPLY=STM_TIM, only NUMBER is supported
</t>
        </r>
      </text>
    </comment>
    <comment ref="H1" authorId="0" shapeId="0" xr:uid="{C115D00A-6535-45B1-AD02-F0BBE126E70C}">
      <text>
        <r>
          <rPr>
            <sz val="9"/>
            <color indexed="81"/>
            <rFont val="Tahoma"/>
            <family val="2"/>
          </rPr>
          <t>Additional column name for SUM and AVERAGE constraint defintion</t>
        </r>
      </text>
    </comment>
    <comment ref="I1" authorId="0" shapeId="0" xr:uid="{DA21149B-4D2A-4082-AD61-83BB8DB6A18B}">
      <text>
        <r>
          <rPr>
            <sz val="9"/>
            <color indexed="81"/>
            <rFont val="Tahoma"/>
            <family val="2"/>
          </rPr>
          <t>Lower Bound</t>
        </r>
      </text>
    </comment>
    <comment ref="J1" authorId="0" shapeId="0" xr:uid="{0098C3CF-C11A-45C7-93D1-88C9D3011B6F}">
      <text>
        <r>
          <rPr>
            <sz val="9"/>
            <color indexed="81"/>
            <rFont val="Tahoma"/>
            <family val="2"/>
          </rPr>
          <t>Upper Bound</t>
        </r>
      </text>
    </comment>
    <comment ref="K1" authorId="0" shapeId="0" xr:uid="{93B301BA-C728-4845-A970-D82A42DD23C0}">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DFD74A92-B928-4257-AB7A-02FAE9A5BB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86EB629D-70E8-4AC8-AE8F-206049D561A1}">
      <text>
        <r>
          <rPr>
            <sz val="9"/>
            <color indexed="81"/>
            <rFont val="Tahoma"/>
            <family val="2"/>
          </rPr>
          <t xml:space="preserve">filter items/stimuli for current section
</t>
        </r>
      </text>
    </comment>
    <comment ref="A3" authorId="0" shapeId="0" xr:uid="{9CAB647D-453B-4CC4-809B-9DB139A5E758}">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4" authorId="0" shapeId="0" xr:uid="{5C4599FC-4CD6-4E1D-8368-C67E37066B1E}">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5" authorId="1" shapeId="0" xr:uid="{AFAB34BF-6BE8-46A8-9A40-78C86BE07482}">
      <text>
        <r>
          <rPr>
            <sz val="9"/>
            <color indexed="81"/>
            <rFont val="Tahoma"/>
            <family val="2"/>
          </rPr>
          <t>The minimal number of OP items to administer before Section Termination Rules (SE and CT) could be applied to terminate the section.
Default (leave blank) is 0</t>
        </r>
      </text>
    </comment>
    <comment ref="A6" authorId="1" shapeId="0" xr:uid="{D5840D3E-58D4-45E1-A8DE-12C0578C02D8}">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7" authorId="1" shapeId="0" xr:uid="{0FD8D39D-45F8-42DF-B056-ADA53B21F950}">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8" authorId="1" shapeId="0" xr:uid="{9984944C-CDBE-41C9-9B67-A80C284F318B}">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9" authorId="1" shapeId="0" xr:uid="{F5978EE2-0453-4A77-A465-AAC49FD81DC3}">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2070B313-425C-402D-93C6-6F4FD12DA88F}">
      <text>
        <r>
          <rPr>
            <sz val="9"/>
            <color indexed="81"/>
            <rFont val="Tahoma"/>
            <family val="2"/>
          </rPr>
          <t xml:space="preserve">CONSTRAINT ID, any unique string, no space allowed
</t>
        </r>
      </text>
    </comment>
    <comment ref="D1" authorId="0" shapeId="0" xr:uid="{2BC51E07-FF3E-4C9E-871D-682CEA12D4DD}">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74458480-E620-4087-9E2F-9AB41CB2E85C}">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B8D41AE9-CEA6-466F-B549-5EADD199B2E6}">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69829E56-E690-4437-A4AA-8C62A00346BD}">
      <text>
        <r>
          <rPr>
            <sz val="9"/>
            <color indexed="81"/>
            <rFont val="Tahoma"/>
            <family val="2"/>
          </rPr>
          <t xml:space="preserve">CONSTRAINT types:
NUMBER
SUM
AVERAGE
ALL_OR_NONE
EXCLUDE
INCLUDE
ENEMY
* for APPLY=STM_TIM, only NUMBER is supported
</t>
        </r>
      </text>
    </comment>
    <comment ref="H1" authorId="0" shapeId="0" xr:uid="{380FF9E2-622E-4667-87C6-DBE69E1BBDB8}">
      <text>
        <r>
          <rPr>
            <sz val="9"/>
            <color indexed="81"/>
            <rFont val="Tahoma"/>
            <family val="2"/>
          </rPr>
          <t>Additional column name for SUM and AVERAGE constraint defintion</t>
        </r>
      </text>
    </comment>
    <comment ref="I1" authorId="0" shapeId="0" xr:uid="{B84FF8F6-6A19-481F-A13D-D47B3BB3B800}">
      <text>
        <r>
          <rPr>
            <sz val="9"/>
            <color indexed="81"/>
            <rFont val="Tahoma"/>
            <family val="2"/>
          </rPr>
          <t>Lower Bound</t>
        </r>
      </text>
    </comment>
    <comment ref="J1" authorId="0" shapeId="0" xr:uid="{893B1D47-CAAA-40DE-B438-0F8FA07FEAE5}">
      <text>
        <r>
          <rPr>
            <sz val="9"/>
            <color indexed="81"/>
            <rFont val="Tahoma"/>
            <family val="2"/>
          </rPr>
          <t>Upper Bound</t>
        </r>
      </text>
    </comment>
    <comment ref="K1" authorId="0" shapeId="0" xr:uid="{64DEFF28-44B8-4CFD-B0B1-5718354C1785}">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483B9AC3-5BAD-4404-9ED2-615DE7C679B4}">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A372A997-950B-4F8E-B4EB-EB9DCA94DA8E}">
      <text>
        <r>
          <rPr>
            <sz val="9"/>
            <color indexed="81"/>
            <rFont val="Tahoma"/>
            <family val="2"/>
          </rPr>
          <t xml:space="preserve">filter items/stimuli for current section
</t>
        </r>
      </text>
    </comment>
    <comment ref="A3" authorId="0" shapeId="0" xr:uid="{655B361C-0BAD-4DF6-9561-F67D05D96ABC}">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4" authorId="0" shapeId="0" xr:uid="{6C3E3DB9-3571-4B2A-ABD4-A57C9A98D948}">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5" authorId="1" shapeId="0" xr:uid="{2F93A06C-0A4F-4C84-A428-B22F41C4401B}">
      <text>
        <r>
          <rPr>
            <sz val="9"/>
            <color indexed="81"/>
            <rFont val="Tahoma"/>
            <family val="2"/>
          </rPr>
          <t>The minimal number of OP items to administer before Section Termination Rules (SE and CT) could be applied to terminate the section.
Default (leave blank) is 0</t>
        </r>
      </text>
    </comment>
    <comment ref="A6" authorId="1" shapeId="0" xr:uid="{3D65E4D9-4127-4516-BD4A-38BB0FE7A674}">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7" authorId="1" shapeId="0" xr:uid="{4239C844-A50B-479A-8354-B4642EC17B9F}">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8" authorId="1" shapeId="0" xr:uid="{79C2CED6-8AFE-4B97-8ECB-C97DD283F4A7}">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9" authorId="1" shapeId="0" xr:uid="{7FD13C26-705E-48B5-A700-82B2AD7F2A4B}">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F477FF3D-33B6-4343-95AB-7F09BE9B03EF}">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C7AB8E95-703B-4A96-B379-F8BA626CF05E}">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<sst xmlns="http://schemas.openxmlformats.org/spreadsheetml/2006/main" count="398" uniqueCount="136">
  <si>
    <t>POSITION</t>
  </si>
  <si>
    <t>ITM_ID</t>
  </si>
  <si>
    <t>STM_ID</t>
  </si>
  <si>
    <t>ENEMIES</t>
  </si>
  <si>
    <t>MODEL</t>
  </si>
  <si>
    <t>SCALING CONSTANT</t>
  </si>
  <si>
    <t>A</t>
  </si>
  <si>
    <t>B</t>
  </si>
  <si>
    <t>C</t>
  </si>
  <si>
    <t>Subject</t>
  </si>
  <si>
    <t>Grade</t>
  </si>
  <si>
    <t>MAX POINTS</t>
  </si>
  <si>
    <t>1PL</t>
  </si>
  <si>
    <t>ENTRY</t>
  </si>
  <si>
    <t>APPLY</t>
  </si>
  <si>
    <t>TYPE</t>
  </si>
  <si>
    <t>LB</t>
  </si>
  <si>
    <t>UB</t>
  </si>
  <si>
    <t>ITM</t>
  </si>
  <si>
    <t>VALUE</t>
  </si>
  <si>
    <t>VAR</t>
  </si>
  <si>
    <t>Theta Range LB</t>
  </si>
  <si>
    <t>Theta Range UB</t>
  </si>
  <si>
    <t>Year</t>
  </si>
  <si>
    <t>Test Name</t>
  </si>
  <si>
    <t>SECTION NAME</t>
  </si>
  <si>
    <t>(END)</t>
  </si>
  <si>
    <t>ROUTING CRITERIA</t>
  </si>
  <si>
    <t>NEXT SECTION NAME</t>
  </si>
  <si>
    <t>Test Interim Theta Estimation</t>
  </si>
  <si>
    <t>Test Format</t>
  </si>
  <si>
    <t>Section Filter</t>
  </si>
  <si>
    <t>Test Start Theta</t>
  </si>
  <si>
    <t>D1</t>
  </si>
  <si>
    <t>D2</t>
  </si>
  <si>
    <t>D3</t>
  </si>
  <si>
    <t>D4</t>
  </si>
  <si>
    <t>Keep Item Order in Stimulus (Y/N)</t>
  </si>
  <si>
    <t>Test Final Theta Estimation</t>
  </si>
  <si>
    <t>Test Subscore Theta Estimation</t>
  </si>
  <si>
    <t>STATUS</t>
  </si>
  <si>
    <t>(START)</t>
  </si>
  <si>
    <t>Pre-Generate Shadow Test Forms at Theta</t>
  </si>
  <si>
    <t xml:space="preserve">* The diagram is not required by the CAT engine. It is for illustration purposes only. </t>
  </si>
  <si>
    <t>Scale Score Scaling Constant A</t>
  </si>
  <si>
    <t>Scale Score Scaling Constant B</t>
  </si>
  <si>
    <t>ITM SET DEFINITION</t>
  </si>
  <si>
    <t>STM SET DEFINITION</t>
  </si>
  <si>
    <t>CONSTRAINT_ID</t>
  </si>
  <si>
    <t>Test Subscore Domain Name(s)</t>
  </si>
  <si>
    <t>Version</t>
  </si>
  <si>
    <t>Bayesian Draws</t>
  </si>
  <si>
    <t>VIOLATION COST</t>
  </si>
  <si>
    <t>Test Termination SE</t>
  </si>
  <si>
    <t>Test Termination CT</t>
  </si>
  <si>
    <t>Test Termination Min N</t>
  </si>
  <si>
    <t>Item Exposure Control Rate</t>
  </si>
  <si>
    <t>Stimulus Exposure Control Rate</t>
  </si>
  <si>
    <t>D</t>
  </si>
  <si>
    <t>TEST THETA [-6,-1.0)</t>
  </si>
  <si>
    <t>TEST THETA (-1.0, 6]</t>
  </si>
  <si>
    <t>TEST THETA [-1.0, 1.0]</t>
  </si>
  <si>
    <t>CAT 1</t>
  </si>
  <si>
    <t>Section Termination Min N</t>
  </si>
  <si>
    <t>Section Termination SE (Test Theta)</t>
  </si>
  <si>
    <t>Section Termination CT (Test Theta)</t>
  </si>
  <si>
    <t>Section Termination SE (Section Theta)</t>
  </si>
  <si>
    <t>Section Termination CT (Section Theta)</t>
  </si>
  <si>
    <t>Section</t>
  </si>
  <si>
    <t>Section = 'A'</t>
  </si>
  <si>
    <t>Section = 'B'</t>
  </si>
  <si>
    <t>Section = 'C'</t>
  </si>
  <si>
    <t>Section = 'D'</t>
  </si>
  <si>
    <t>OP</t>
  </si>
  <si>
    <t>Section Interim Theta Estimation</t>
  </si>
  <si>
    <t>EAP NORMAL 0 1</t>
  </si>
  <si>
    <t>A01</t>
  </si>
  <si>
    <t>A02</t>
  </si>
  <si>
    <t>A03</t>
  </si>
  <si>
    <t>A04</t>
  </si>
  <si>
    <t>A05</t>
  </si>
  <si>
    <t>A06</t>
  </si>
  <si>
    <t>A07</t>
  </si>
  <si>
    <t>A08</t>
  </si>
  <si>
    <t>A09</t>
  </si>
  <si>
    <t>A10</t>
  </si>
  <si>
    <t>A11</t>
  </si>
  <si>
    <t>A12</t>
  </si>
  <si>
    <t>A13</t>
  </si>
  <si>
    <t>A14</t>
  </si>
  <si>
    <t>A15</t>
  </si>
  <si>
    <t>B01</t>
  </si>
  <si>
    <t>B02</t>
  </si>
  <si>
    <t>B03</t>
  </si>
  <si>
    <t>B04</t>
  </si>
  <si>
    <t>B05</t>
  </si>
  <si>
    <t>B06</t>
  </si>
  <si>
    <t>B07</t>
  </si>
  <si>
    <t>B08</t>
  </si>
  <si>
    <t>B09</t>
  </si>
  <si>
    <t>B10</t>
  </si>
  <si>
    <t>B11</t>
  </si>
  <si>
    <t>B12</t>
  </si>
  <si>
    <t>B13</t>
  </si>
  <si>
    <t>B14</t>
  </si>
  <si>
    <t>B15</t>
  </si>
  <si>
    <t>C01</t>
  </si>
  <si>
    <t>C02</t>
  </si>
  <si>
    <t>C03</t>
  </si>
  <si>
    <t>C04</t>
  </si>
  <si>
    <t>C05</t>
  </si>
  <si>
    <t>C06</t>
  </si>
  <si>
    <t>C07</t>
  </si>
  <si>
    <t>C08</t>
  </si>
  <si>
    <t>C09</t>
  </si>
  <si>
    <t>C10</t>
  </si>
  <si>
    <t>C11</t>
  </si>
  <si>
    <t>C12</t>
  </si>
  <si>
    <t>C13</t>
  </si>
  <si>
    <t>C14</t>
  </si>
  <si>
    <t>C15</t>
  </si>
  <si>
    <t>D01</t>
  </si>
  <si>
    <t>D02</t>
  </si>
  <si>
    <t>D03</t>
  </si>
  <si>
    <t>D04</t>
  </si>
  <si>
    <t>D05</t>
  </si>
  <si>
    <t>D06</t>
  </si>
  <si>
    <t>D07</t>
  </si>
  <si>
    <t>D08</t>
  </si>
  <si>
    <t>D09</t>
  </si>
  <si>
    <t>D10</t>
  </si>
  <si>
    <t>D11</t>
  </si>
  <si>
    <t>D12</t>
  </si>
  <si>
    <t>D13</t>
  </si>
  <si>
    <t>D14</t>
  </si>
  <si>
    <t>D15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</si>
</sst>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33" borderId="10" xfId="0" applyFill="1" applyBorder="1" applyProtection="1">
      <protection hidden="1"/>
    </xf>
    <xf numFmtId="0" fontId="0" fillId="33" borderId="0" xfId="0" applyFill="1"/>
    <xf numFmtId="0" fontId="0" fillId="0" borderId="0" xfId="0" applyProtection="1">
      <protection locked="0"/>
    </xf>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0" fontId="0" fillId="0" borderId="0" xfId="0" quotePrefix="1" applyAlignment="1">
      <alignment horizontal="left"/>
    </xf>
    <xf numFmtId="0" fontId="0" fillId="33" borderId="0" xfId="0" applyFill="1" applyProtection="1">
      <protection hidden="1"/>
    </xf>
    <xf numFmtId="0" fontId="0" fillId="34" borderId="0" xfId="0" applyFill="1"/>
    <xf numFmtId="0" fontId="0" fillId="34" borderId="0" xfId="0" quotePrefix="1" applyFill="1" applyAlignment="1">
      <alignment horizontal="left"/>
    </xf>
    <xf numFmtId="0" fontId="0" fillId="34"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274320</xdr:colOff>
      <xdr:row>3</xdr:row>
      <xdr:rowOff>45714</xdr:rowOff>
    </xdr:from>
    <xdr:to>
      <xdr:col>12</xdr:col>
      <xdr:colOff>228600</xdr:colOff>
      <xdr:row>22</xdr:row>
      <xdr:rowOff>17029</xdr:rowOff>
    </xdr:to>
    <xdr:grpSp>
      <xdr:nvGrpSpPr>
        <xdr:cNvPr id="2" name="Group 1">
          <a:extLst>
            <a:ext uri="{FF2B5EF4-FFF2-40B4-BE49-F238E27FC236}">
              <a16:creationId xmlns:a16="http://schemas.microsoft.com/office/drawing/2014/main" id="{2CAA5C63-3AA1-1455-B658-A2958568C90C}"/>
            </a:ext>
          </a:extLst>
        </xdr:cNvPr>
        <xdr:cNvGrpSpPr/>
      </xdr:nvGrpSpPr>
      <xdr:grpSpPr>
        <a:xfrm>
          <a:off x="4907280" y="594354"/>
          <a:ext cx="4831080" cy="3446035"/>
          <a:chOff x="4907280" y="594354"/>
          <a:chExt cx="4831080" cy="3446035"/>
        </a:xfrm>
      </xdr:grpSpPr>
      <xdr:sp macro="" textlink="">
        <xdr:nvSpPr>
          <xdr:cNvPr id="15" name="Rectangle: Rounded Corners 14">
            <a:extLst>
              <a:ext uri="{FF2B5EF4-FFF2-40B4-BE49-F238E27FC236}">
                <a16:creationId xmlns:a16="http://schemas.microsoft.com/office/drawing/2014/main" id="{F1ABA150-07B9-47F6-8D02-97411E9D0A4F}"/>
              </a:ext>
            </a:extLst>
          </xdr:cNvPr>
          <xdr:cNvSpPr/>
        </xdr:nvSpPr>
        <xdr:spPr>
          <a:xfrm>
            <a:off x="6864865" y="3726690"/>
            <a:ext cx="957645" cy="3136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27" name="Rectangle: Rounded Corners 26">
            <a:extLst>
              <a:ext uri="{FF2B5EF4-FFF2-40B4-BE49-F238E27FC236}">
                <a16:creationId xmlns:a16="http://schemas.microsoft.com/office/drawing/2014/main" id="{D346DA5D-6D18-4159-9632-3979D8568762}"/>
              </a:ext>
            </a:extLst>
          </xdr:cNvPr>
          <xdr:cNvSpPr/>
        </xdr:nvSpPr>
        <xdr:spPr>
          <a:xfrm>
            <a:off x="6871335" y="594354"/>
            <a:ext cx="957645" cy="3136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26" name="Straight Arrow Connector 25">
            <a:extLst>
              <a:ext uri="{FF2B5EF4-FFF2-40B4-BE49-F238E27FC236}">
                <a16:creationId xmlns:a16="http://schemas.microsoft.com/office/drawing/2014/main" id="{D0DDFC66-0A8E-4B6D-96DA-087D97936D28}"/>
              </a:ext>
            </a:extLst>
          </xdr:cNvPr>
          <xdr:cNvCxnSpPr>
            <a:cxnSpLocks/>
            <a:stCxn id="27" idx="2"/>
            <a:endCxn id="13" idx="0"/>
          </xdr:cNvCxnSpPr>
        </xdr:nvCxnSpPr>
        <xdr:spPr>
          <a:xfrm flipH="1">
            <a:off x="7349490" y="908053"/>
            <a:ext cx="668" cy="372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TextBox 12">
            <a:extLst>
              <a:ext uri="{FF2B5EF4-FFF2-40B4-BE49-F238E27FC236}">
                <a16:creationId xmlns:a16="http://schemas.microsoft.com/office/drawing/2014/main" id="{764AEF59-2D9E-4E10-8514-F7553B684B7A}"/>
              </a:ext>
            </a:extLst>
          </xdr:cNvPr>
          <xdr:cNvSpPr txBox="1"/>
        </xdr:nvSpPr>
        <xdr:spPr>
          <a:xfrm>
            <a:off x="6393180" y="1280160"/>
            <a:ext cx="1912620" cy="56388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t>Section A</a:t>
            </a:r>
          </a:p>
          <a:p>
            <a:pPr algn="ctr"/>
            <a:r>
              <a:rPr lang="en-US" sz="1100" baseline="0"/>
              <a:t>SE &lt;= 0.55 or test length = 15</a:t>
            </a:r>
          </a:p>
          <a:p>
            <a:r>
              <a:rPr lang="en-US" sz="1100" baseline="0"/>
              <a:t> </a:t>
            </a:r>
          </a:p>
        </xdr:txBody>
      </xdr:sp>
      <xdr:sp macro="" textlink="">
        <xdr:nvSpPr>
          <xdr:cNvPr id="16" name="TextBox 15">
            <a:extLst>
              <a:ext uri="{FF2B5EF4-FFF2-40B4-BE49-F238E27FC236}">
                <a16:creationId xmlns:a16="http://schemas.microsoft.com/office/drawing/2014/main" id="{E6322AA4-6D3F-45F5-A3D3-BA4D01900E6A}"/>
              </a:ext>
            </a:extLst>
          </xdr:cNvPr>
          <xdr:cNvSpPr txBox="1"/>
        </xdr:nvSpPr>
        <xdr:spPr>
          <a:xfrm>
            <a:off x="4907280" y="2278380"/>
            <a:ext cx="1371600" cy="89916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t>Section B</a:t>
            </a:r>
          </a:p>
          <a:p>
            <a:pPr algn="ctr"/>
            <a:r>
              <a:rPr lang="en-US" sz="1100" baseline="0"/>
              <a:t>SE &lt;= 0.45 </a:t>
            </a:r>
          </a:p>
          <a:p>
            <a:pPr algn="ctr"/>
            <a:r>
              <a:rPr lang="en-US" sz="1100" baseline="0"/>
              <a:t>or </a:t>
            </a:r>
          </a:p>
          <a:p>
            <a:pPr algn="ctr"/>
            <a:r>
              <a:rPr lang="en-US" sz="1100" baseline="0"/>
              <a:t>test length = 15</a:t>
            </a:r>
          </a:p>
          <a:p>
            <a:r>
              <a:rPr lang="en-US" sz="1100" baseline="0"/>
              <a:t> </a:t>
            </a:r>
          </a:p>
        </xdr:txBody>
      </xdr:sp>
      <xdr:sp macro="" textlink="">
        <xdr:nvSpPr>
          <xdr:cNvPr id="17" name="TextBox 16">
            <a:extLst>
              <a:ext uri="{FF2B5EF4-FFF2-40B4-BE49-F238E27FC236}">
                <a16:creationId xmlns:a16="http://schemas.microsoft.com/office/drawing/2014/main" id="{7BA7F2AB-AB65-4E79-8ABC-DC2540D7CD85}"/>
              </a:ext>
            </a:extLst>
          </xdr:cNvPr>
          <xdr:cNvSpPr txBox="1"/>
        </xdr:nvSpPr>
        <xdr:spPr>
          <a:xfrm>
            <a:off x="6660405" y="2283635"/>
            <a:ext cx="1371600" cy="89916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t>Section C</a:t>
            </a:r>
          </a:p>
          <a:p>
            <a:pPr algn="ctr"/>
            <a:r>
              <a:rPr lang="en-US" sz="1100" baseline="0"/>
              <a:t>SE &lt;= 0.45 </a:t>
            </a:r>
          </a:p>
          <a:p>
            <a:pPr algn="ctr"/>
            <a:r>
              <a:rPr lang="en-US" sz="1100" baseline="0"/>
              <a:t>or </a:t>
            </a:r>
          </a:p>
          <a:p>
            <a:pPr algn="ctr"/>
            <a:r>
              <a:rPr lang="en-US" sz="1100" baseline="0"/>
              <a:t>test length = 15</a:t>
            </a:r>
          </a:p>
          <a:p>
            <a:r>
              <a:rPr lang="en-US" sz="1100" baseline="0"/>
              <a:t> </a:t>
            </a:r>
          </a:p>
        </xdr:txBody>
      </xdr:sp>
      <xdr:sp macro="" textlink="">
        <xdr:nvSpPr>
          <xdr:cNvPr id="18" name="TextBox 17">
            <a:extLst>
              <a:ext uri="{FF2B5EF4-FFF2-40B4-BE49-F238E27FC236}">
                <a16:creationId xmlns:a16="http://schemas.microsoft.com/office/drawing/2014/main" id="{11C0DF81-AE15-449B-B98F-0FBF694FAC14}"/>
              </a:ext>
            </a:extLst>
          </xdr:cNvPr>
          <xdr:cNvSpPr txBox="1"/>
        </xdr:nvSpPr>
        <xdr:spPr>
          <a:xfrm>
            <a:off x="8366760" y="2278380"/>
            <a:ext cx="1371600" cy="89916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t>Section D</a:t>
            </a:r>
          </a:p>
          <a:p>
            <a:pPr algn="ctr"/>
            <a:r>
              <a:rPr lang="en-US" sz="1100" baseline="0"/>
              <a:t>SE &lt;= 0.45 </a:t>
            </a:r>
          </a:p>
          <a:p>
            <a:pPr algn="ctr"/>
            <a:r>
              <a:rPr lang="en-US" sz="1100" baseline="0"/>
              <a:t>or </a:t>
            </a:r>
          </a:p>
          <a:p>
            <a:pPr algn="ctr"/>
            <a:r>
              <a:rPr lang="en-US" sz="1100" baseline="0"/>
              <a:t>test length = 15</a:t>
            </a:r>
          </a:p>
          <a:p>
            <a:r>
              <a:rPr lang="en-US" sz="1100" baseline="0"/>
              <a:t> </a:t>
            </a:r>
          </a:p>
        </xdr:txBody>
      </xdr:sp>
      <xdr:cxnSp macro="">
        <xdr:nvCxnSpPr>
          <xdr:cNvPr id="30" name="Straight Arrow Connector 29">
            <a:extLst>
              <a:ext uri="{FF2B5EF4-FFF2-40B4-BE49-F238E27FC236}">
                <a16:creationId xmlns:a16="http://schemas.microsoft.com/office/drawing/2014/main" id="{1154E52F-2DC5-4F80-A737-50B09A57140B}"/>
              </a:ext>
            </a:extLst>
          </xdr:cNvPr>
          <xdr:cNvCxnSpPr>
            <a:cxnSpLocks/>
            <a:stCxn id="13" idx="2"/>
            <a:endCxn id="17" idx="0"/>
          </xdr:cNvCxnSpPr>
        </xdr:nvCxnSpPr>
        <xdr:spPr>
          <a:xfrm flipH="1">
            <a:off x="7346205" y="1844040"/>
            <a:ext cx="3285" cy="4395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 name="Straight Arrow Connector 36">
            <a:extLst>
              <a:ext uri="{FF2B5EF4-FFF2-40B4-BE49-F238E27FC236}">
                <a16:creationId xmlns:a16="http://schemas.microsoft.com/office/drawing/2014/main" id="{2B2717B2-C45D-4ECF-BAF1-5A0CC748CD60}"/>
              </a:ext>
            </a:extLst>
          </xdr:cNvPr>
          <xdr:cNvCxnSpPr>
            <a:cxnSpLocks/>
            <a:stCxn id="17" idx="2"/>
            <a:endCxn id="15" idx="0"/>
          </xdr:cNvCxnSpPr>
        </xdr:nvCxnSpPr>
        <xdr:spPr>
          <a:xfrm flipH="1">
            <a:off x="7343688" y="3182795"/>
            <a:ext cx="2517" cy="543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7" name="TextBox 46">
            <a:extLst>
              <a:ext uri="{FF2B5EF4-FFF2-40B4-BE49-F238E27FC236}">
                <a16:creationId xmlns:a16="http://schemas.microsoft.com/office/drawing/2014/main" id="{C9F7B5A7-B147-42BC-961B-1EC4CC742ADB}"/>
              </a:ext>
            </a:extLst>
          </xdr:cNvPr>
          <xdr:cNvSpPr txBox="1"/>
        </xdr:nvSpPr>
        <xdr:spPr>
          <a:xfrm>
            <a:off x="5120640" y="1950720"/>
            <a:ext cx="1080646" cy="253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TEST</a:t>
            </a:r>
            <a:r>
              <a:rPr lang="en-US" sz="1100" baseline="0">
                <a:solidFill>
                  <a:schemeClr val="accent1"/>
                </a:solidFill>
              </a:rPr>
              <a:t> </a:t>
            </a:r>
            <a:r>
              <a:rPr lang="en-US" sz="1100">
                <a:solidFill>
                  <a:schemeClr val="accent1"/>
                </a:solidFill>
              </a:rPr>
              <a:t>theta &lt; -1.0</a:t>
            </a:r>
          </a:p>
        </xdr:txBody>
      </xdr:sp>
      <xdr:sp macro="" textlink="">
        <xdr:nvSpPr>
          <xdr:cNvPr id="48" name="TextBox 47">
            <a:extLst>
              <a:ext uri="{FF2B5EF4-FFF2-40B4-BE49-F238E27FC236}">
                <a16:creationId xmlns:a16="http://schemas.microsoft.com/office/drawing/2014/main" id="{1E7D28C9-8055-4779-8651-39F3BAB002B4}"/>
              </a:ext>
            </a:extLst>
          </xdr:cNvPr>
          <xdr:cNvSpPr txBox="1"/>
        </xdr:nvSpPr>
        <xdr:spPr>
          <a:xfrm>
            <a:off x="8442960" y="1958340"/>
            <a:ext cx="1080646" cy="253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TEST</a:t>
            </a:r>
            <a:r>
              <a:rPr lang="en-US" sz="1100" baseline="0">
                <a:solidFill>
                  <a:schemeClr val="accent1"/>
                </a:solidFill>
              </a:rPr>
              <a:t> </a:t>
            </a:r>
            <a:r>
              <a:rPr lang="en-US" sz="1100">
                <a:solidFill>
                  <a:schemeClr val="accent1"/>
                </a:solidFill>
              </a:rPr>
              <a:t>theta &lt;</a:t>
            </a:r>
            <a:r>
              <a:rPr lang="en-US" sz="1100" baseline="0">
                <a:solidFill>
                  <a:schemeClr val="accent1"/>
                </a:solidFill>
              </a:rPr>
              <a:t> 1</a:t>
            </a:r>
            <a:r>
              <a:rPr lang="en-US" sz="1100">
                <a:solidFill>
                  <a:schemeClr val="accent1"/>
                </a:solidFill>
              </a:rPr>
              <a:t>.0</a:t>
            </a:r>
          </a:p>
        </xdr:txBody>
      </xdr:sp>
      <xdr:sp macro="" textlink="">
        <xdr:nvSpPr>
          <xdr:cNvPr id="49" name="TextBox 48">
            <a:extLst>
              <a:ext uri="{FF2B5EF4-FFF2-40B4-BE49-F238E27FC236}">
                <a16:creationId xmlns:a16="http://schemas.microsoft.com/office/drawing/2014/main" id="{FE17325D-E93B-43BA-94D6-992670AB3A09}"/>
              </a:ext>
            </a:extLst>
          </xdr:cNvPr>
          <xdr:cNvSpPr txBox="1"/>
        </xdr:nvSpPr>
        <xdr:spPr>
          <a:xfrm>
            <a:off x="6499860" y="1965960"/>
            <a:ext cx="1600200" cy="253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-1.0</a:t>
            </a:r>
            <a:r>
              <a:rPr lang="en-US" sz="1100" baseline="0">
                <a:solidFill>
                  <a:schemeClr val="accent1"/>
                </a:solidFill>
              </a:rPr>
              <a:t> </a:t>
            </a:r>
            <a:r>
              <a:rPr lang="en-US" sz="1100">
                <a:solidFill>
                  <a:schemeClr val="accent1"/>
                </a:solidFill>
              </a:rPr>
              <a:t>&lt;= TEST</a:t>
            </a:r>
            <a:r>
              <a:rPr lang="en-US" sz="1100" baseline="0">
                <a:solidFill>
                  <a:schemeClr val="accent1"/>
                </a:solidFill>
              </a:rPr>
              <a:t> </a:t>
            </a:r>
            <a:r>
              <a:rPr lang="en-US" sz="1100">
                <a:solidFill>
                  <a:schemeClr val="accent1"/>
                </a:solidFill>
              </a:rPr>
              <a:t>theta &lt;= 1.0</a:t>
            </a:r>
          </a:p>
        </xdr:txBody>
      </xdr:sp>
      <xdr:cxnSp macro="">
        <xdr:nvCxnSpPr>
          <xdr:cNvPr id="3" name="Connector: Elbow 2">
            <a:extLst>
              <a:ext uri="{FF2B5EF4-FFF2-40B4-BE49-F238E27FC236}">
                <a16:creationId xmlns:a16="http://schemas.microsoft.com/office/drawing/2014/main" id="{75BF20F9-3F62-1A56-12D0-909C171E8200}"/>
              </a:ext>
            </a:extLst>
          </xdr:cNvPr>
          <xdr:cNvCxnSpPr>
            <a:stCxn id="13" idx="2"/>
            <a:endCxn id="47" idx="2"/>
          </xdr:cNvCxnSpPr>
        </xdr:nvCxnSpPr>
        <xdr:spPr>
          <a:xfrm rot="5400000">
            <a:off x="6324939" y="1180065"/>
            <a:ext cx="360576" cy="1688527"/>
          </a:xfrm>
          <a:prstGeom prst="bentConnector3">
            <a:avLst>
              <a:gd name="adj1" fmla="val 34488"/>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 name="Connector: Elbow 5">
            <a:extLst>
              <a:ext uri="{FF2B5EF4-FFF2-40B4-BE49-F238E27FC236}">
                <a16:creationId xmlns:a16="http://schemas.microsoft.com/office/drawing/2014/main" id="{6CE112B7-1D9A-454E-B1C3-A8E7CFBFF1D3}"/>
              </a:ext>
            </a:extLst>
          </xdr:cNvPr>
          <xdr:cNvCxnSpPr>
            <a:stCxn id="13" idx="2"/>
            <a:endCxn id="18" idx="0"/>
          </xdr:cNvCxnSpPr>
        </xdr:nvCxnSpPr>
        <xdr:spPr>
          <a:xfrm rot="16200000" flipH="1">
            <a:off x="7983855" y="1209675"/>
            <a:ext cx="434340" cy="1703070"/>
          </a:xfrm>
          <a:prstGeom prst="bentConnector3">
            <a:avLst>
              <a:gd name="adj1" fmla="val 28947"/>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 name="Connector: Elbow 9">
            <a:extLst>
              <a:ext uri="{FF2B5EF4-FFF2-40B4-BE49-F238E27FC236}">
                <a16:creationId xmlns:a16="http://schemas.microsoft.com/office/drawing/2014/main" id="{07B0D0EB-3413-4891-872E-6F3FF5993F33}"/>
              </a:ext>
            </a:extLst>
          </xdr:cNvPr>
          <xdr:cNvCxnSpPr>
            <a:stCxn id="16" idx="2"/>
            <a:endCxn id="15" idx="0"/>
          </xdr:cNvCxnSpPr>
        </xdr:nvCxnSpPr>
        <xdr:spPr>
          <a:xfrm rot="16200000" flipH="1">
            <a:off x="6193809" y="2576811"/>
            <a:ext cx="549150" cy="175060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4" name="Connector: Elbow 13">
            <a:extLst>
              <a:ext uri="{FF2B5EF4-FFF2-40B4-BE49-F238E27FC236}">
                <a16:creationId xmlns:a16="http://schemas.microsoft.com/office/drawing/2014/main" id="{1E15CF44-83AA-43AB-9383-691FD4B59C6D}"/>
              </a:ext>
            </a:extLst>
          </xdr:cNvPr>
          <xdr:cNvCxnSpPr>
            <a:stCxn id="18" idx="2"/>
            <a:endCxn id="15" idx="0"/>
          </xdr:cNvCxnSpPr>
        </xdr:nvCxnSpPr>
        <xdr:spPr>
          <a:xfrm rot="5400000">
            <a:off x="7923549" y="2597679"/>
            <a:ext cx="549150" cy="170887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1"/>
  <sheetViews>
    <sheetView zoomScaleNormal="100" workbookViewId="0">
      <pane ySplit="1" topLeftCell="A2" activePane="bottomLeft" state="frozen"/>
      <selection pane="bottomLeft" activeCell="G22" sqref="G22"/>
    </sheetView>
  </sheetViews>
  <sheetFormatPr defaultRowHeight="14.4" x14ac:dyDescent="0.3"/>
  <cols>
    <col min="1" max="1" width="17.109375" customWidth="1"/>
    <col min="2" max="2" width="17" customWidth="1"/>
    <col min="3" max="3" width="8.44140625" bestFit="1" customWidth="1"/>
    <col min="4" max="4" width="8.109375" customWidth="1"/>
    <col min="5" max="5" width="12.21875" customWidth="1"/>
    <col min="6" max="6" width="9.21875" customWidth="1"/>
    <col min="7" max="7" width="17.88671875" bestFit="1" customWidth="1"/>
    <col min="8" max="14" width="9.21875" customWidth="1"/>
    <col min="16" max="16" width="9.44140625" bestFit="1" customWidth="1"/>
  </cols>
  <sheetData>
    <row r="1" spans="1:15" x14ac:dyDescent="0.3">
      <c r="A1" s="1" t="s">
        <v>1</v>
      </c>
      <c r="B1" s="1" t="s">
        <v>2</v>
      </c>
      <c r="C1" s="2" t="s">
        <v>3</v>
      </c>
      <c r="D1" s="2" t="s">
        <v>40</v>
      </c>
      <c r="E1" s="2" t="s">
        <v>11</v>
      </c>
      <c r="F1" s="2" t="s">
        <v>4</v>
      </c>
      <c r="G1" s="2" t="s">
        <v>5</v>
      </c>
      <c r="H1" s="2" t="s">
        <v>6</v>
      </c>
      <c r="I1" s="2" t="s">
        <v>7</v>
      </c>
      <c r="J1" s="2" t="s">
        <v>8</v>
      </c>
      <c r="K1" s="2" t="s">
        <v>33</v>
      </c>
      <c r="L1" s="2" t="s">
        <v>34</v>
      </c>
      <c r="M1" s="2" t="s">
        <v>35</v>
      </c>
      <c r="N1" s="2" t="s">
        <v>36</v>
      </c>
      <c r="O1" t="s">
        <v>68</v>
      </c>
    </row>
    <row r="2" spans="1:15" x14ac:dyDescent="0.3">
      <c r="A2" t="s">
        <v>76</v>
      </c>
      <c r="D2" t="s">
        <v>73</v>
      </c>
      <c r="E2">
        <v>1</v>
      </c>
      <c r="F2" t="s">
        <v>12</v>
      </c>
      <c r="G2">
        <v>1</v>
      </c>
      <c r="I2">
        <f ca="1">ROUND(NORMINV(RAND(),0,1),3)</f>
        <v>0.74199999999999999</v>
      </c>
      <c r="O2" t="s">
        <v>6</v>
      </c>
    </row>
    <row r="3" spans="1:15" x14ac:dyDescent="0.3">
      <c r="A3" t="s">
        <v>77</v>
      </c>
      <c r="D3" t="s">
        <v>73</v>
      </c>
      <c r="E3">
        <v>1</v>
      </c>
      <c r="F3" t="s">
        <v>12</v>
      </c>
      <c r="G3">
        <v>1</v>
      </c>
      <c r="I3">
        <f t="shared" ref="I3:I16" ca="1" si="0">ROUND(NORMINV(RAND(),0,1),3)</f>
        <v>-0.28399999999999997</v>
      </c>
      <c r="O3" t="s">
        <v>6</v>
      </c>
    </row>
    <row r="4" spans="1:15" x14ac:dyDescent="0.3">
      <c r="A4" t="s">
        <v>78</v>
      </c>
      <c r="D4" t="s">
        <v>73</v>
      </c>
      <c r="E4">
        <v>1</v>
      </c>
      <c r="F4" t="s">
        <v>12</v>
      </c>
      <c r="G4">
        <v>1</v>
      </c>
      <c r="I4">
        <f t="shared" ca="1" si="0"/>
        <v>1.5049999999999999</v>
      </c>
      <c r="O4" t="s">
        <v>6</v>
      </c>
    </row>
    <row r="5" spans="1:15" x14ac:dyDescent="0.3">
      <c r="A5" t="s">
        <v>79</v>
      </c>
      <c r="D5" t="s">
        <v>73</v>
      </c>
      <c r="E5">
        <v>1</v>
      </c>
      <c r="F5" t="s">
        <v>12</v>
      </c>
      <c r="G5">
        <v>1</v>
      </c>
      <c r="I5">
        <f t="shared" ca="1" si="0"/>
        <v>0.20100000000000001</v>
      </c>
      <c r="O5" t="s">
        <v>6</v>
      </c>
    </row>
    <row r="6" spans="1:15" x14ac:dyDescent="0.3">
      <c r="A6" t="s">
        <v>80</v>
      </c>
      <c r="D6" t="s">
        <v>73</v>
      </c>
      <c r="E6">
        <v>1</v>
      </c>
      <c r="F6" t="s">
        <v>12</v>
      </c>
      <c r="G6">
        <v>1</v>
      </c>
      <c r="I6">
        <f t="shared" ca="1" si="0"/>
        <v>0.59499999999999997</v>
      </c>
      <c r="O6" t="s">
        <v>6</v>
      </c>
    </row>
    <row r="7" spans="1:15" x14ac:dyDescent="0.3">
      <c r="A7" t="s">
        <v>81</v>
      </c>
      <c r="D7" t="s">
        <v>73</v>
      </c>
      <c r="E7">
        <v>1</v>
      </c>
      <c r="F7" t="s">
        <v>12</v>
      </c>
      <c r="G7">
        <v>1</v>
      </c>
      <c r="I7">
        <f t="shared" ca="1" si="0"/>
        <v>-0.46400000000000002</v>
      </c>
      <c r="O7" t="s">
        <v>6</v>
      </c>
    </row>
    <row r="8" spans="1:15" x14ac:dyDescent="0.3">
      <c r="A8" t="s">
        <v>82</v>
      </c>
      <c r="D8" t="s">
        <v>73</v>
      </c>
      <c r="E8">
        <v>1</v>
      </c>
      <c r="F8" t="s">
        <v>12</v>
      </c>
      <c r="G8">
        <v>1</v>
      </c>
      <c r="I8">
        <f t="shared" ca="1" si="0"/>
        <v>1.786</v>
      </c>
      <c r="O8" t="s">
        <v>6</v>
      </c>
    </row>
    <row r="9" spans="1:15" x14ac:dyDescent="0.3">
      <c r="A9" t="s">
        <v>83</v>
      </c>
      <c r="D9" t="s">
        <v>73</v>
      </c>
      <c r="E9">
        <v>1</v>
      </c>
      <c r="F9" t="s">
        <v>12</v>
      </c>
      <c r="G9">
        <v>1</v>
      </c>
      <c r="I9">
        <f t="shared" ca="1" si="0"/>
        <v>-0.5</v>
      </c>
      <c r="O9" t="s">
        <v>6</v>
      </c>
    </row>
    <row r="10" spans="1:15" x14ac:dyDescent="0.3">
      <c r="A10" t="s">
        <v>84</v>
      </c>
      <c r="D10" t="s">
        <v>73</v>
      </c>
      <c r="E10">
        <v>1</v>
      </c>
      <c r="F10" t="s">
        <v>12</v>
      </c>
      <c r="G10">
        <v>1</v>
      </c>
      <c r="I10">
        <f t="shared" ca="1" si="0"/>
        <v>-2.4E-2</v>
      </c>
      <c r="O10" t="s">
        <v>6</v>
      </c>
    </row>
    <row r="11" spans="1:15" x14ac:dyDescent="0.3">
      <c r="A11" t="s">
        <v>85</v>
      </c>
      <c r="D11" t="s">
        <v>73</v>
      </c>
      <c r="E11">
        <v>1</v>
      </c>
      <c r="F11" t="s">
        <v>12</v>
      </c>
      <c r="G11">
        <v>1</v>
      </c>
      <c r="I11">
        <f t="shared" ca="1" si="0"/>
        <v>-0.47899999999999998</v>
      </c>
      <c r="O11" t="s">
        <v>6</v>
      </c>
    </row>
    <row r="12" spans="1:15" x14ac:dyDescent="0.3">
      <c r="A12" t="s">
        <v>86</v>
      </c>
      <c r="D12" t="s">
        <v>73</v>
      </c>
      <c r="E12">
        <v>1</v>
      </c>
      <c r="F12" t="s">
        <v>12</v>
      </c>
      <c r="G12">
        <v>1</v>
      </c>
      <c r="I12">
        <f t="shared" ca="1" si="0"/>
        <v>-1E-3</v>
      </c>
      <c r="O12" t="s">
        <v>6</v>
      </c>
    </row>
    <row r="13" spans="1:15" x14ac:dyDescent="0.3">
      <c r="A13" t="s">
        <v>87</v>
      </c>
      <c r="D13" t="s">
        <v>73</v>
      </c>
      <c r="E13">
        <v>1</v>
      </c>
      <c r="F13" t="s">
        <v>12</v>
      </c>
      <c r="G13">
        <v>1</v>
      </c>
      <c r="I13">
        <f t="shared" ca="1" si="0"/>
        <v>7.0999999999999994E-2</v>
      </c>
      <c r="O13" t="s">
        <v>6</v>
      </c>
    </row>
    <row r="14" spans="1:15" x14ac:dyDescent="0.3">
      <c r="A14" t="s">
        <v>88</v>
      </c>
      <c r="D14" t="s">
        <v>73</v>
      </c>
      <c r="E14">
        <v>1</v>
      </c>
      <c r="F14" t="s">
        <v>12</v>
      </c>
      <c r="G14">
        <v>1</v>
      </c>
      <c r="I14">
        <f t="shared" ca="1" si="0"/>
        <v>-0.18</v>
      </c>
      <c r="O14" t="s">
        <v>6</v>
      </c>
    </row>
    <row r="15" spans="1:15" x14ac:dyDescent="0.3">
      <c r="A15" t="s">
        <v>89</v>
      </c>
      <c r="D15" t="s">
        <v>73</v>
      </c>
      <c r="E15">
        <v>1</v>
      </c>
      <c r="F15" t="s">
        <v>12</v>
      </c>
      <c r="G15">
        <v>1</v>
      </c>
      <c r="I15">
        <f t="shared" ca="1" si="0"/>
        <v>0.31</v>
      </c>
      <c r="O15" t="s">
        <v>6</v>
      </c>
    </row>
    <row r="16" spans="1:15" x14ac:dyDescent="0.3">
      <c r="A16" t="s">
        <v>90</v>
      </c>
      <c r="D16" t="s">
        <v>73</v>
      </c>
      <c r="E16">
        <v>1</v>
      </c>
      <c r="F16" t="s">
        <v>12</v>
      </c>
      <c r="G16">
        <v>1</v>
      </c>
      <c r="I16">
        <f t="shared" ca="1" si="0"/>
        <v>-0.66100000000000003</v>
      </c>
      <c r="O16" t="s">
        <v>6</v>
      </c>
    </row>
    <row r="17" spans="1:15" s="14" customFormat="1" x14ac:dyDescent="0.3">
      <c r="A17" s="14" t="s">
        <v>91</v>
      </c>
      <c r="D17" s="14" t="s">
        <v>73</v>
      </c>
      <c r="E17" s="14">
        <v>1</v>
      </c>
      <c r="F17" s="14" t="s">
        <v>12</v>
      </c>
      <c r="G17" s="14">
        <v>1</v>
      </c>
      <c r="I17" s="14">
        <f ca="1">ROUND(NORMINV(RAND(),-1,1),3)</f>
        <v>-0.45900000000000002</v>
      </c>
      <c r="O17" s="14" t="s">
        <v>7</v>
      </c>
    </row>
    <row r="18" spans="1:15" s="14" customFormat="1" x14ac:dyDescent="0.3">
      <c r="A18" s="14" t="s">
        <v>92</v>
      </c>
      <c r="D18" s="14" t="s">
        <v>73</v>
      </c>
      <c r="E18" s="14">
        <v>1</v>
      </c>
      <c r="F18" s="14" t="s">
        <v>12</v>
      </c>
      <c r="G18" s="14">
        <v>1</v>
      </c>
      <c r="I18" s="14">
        <f t="shared" ref="I18:I31" ca="1" si="1">ROUND(NORMINV(RAND(),-1,1),3)</f>
        <v>-0.34300000000000003</v>
      </c>
      <c r="O18" s="14" t="s">
        <v>7</v>
      </c>
    </row>
    <row r="19" spans="1:15" s="14" customFormat="1" x14ac:dyDescent="0.3">
      <c r="A19" s="14" t="s">
        <v>93</v>
      </c>
      <c r="D19" s="14" t="s">
        <v>73</v>
      </c>
      <c r="E19" s="14">
        <v>1</v>
      </c>
      <c r="F19" s="14" t="s">
        <v>12</v>
      </c>
      <c r="G19" s="14">
        <v>1</v>
      </c>
      <c r="I19" s="14">
        <f t="shared" ca="1" si="1"/>
        <v>-1.7150000000000001</v>
      </c>
      <c r="O19" s="14" t="s">
        <v>7</v>
      </c>
    </row>
    <row r="20" spans="1:15" s="14" customFormat="1" x14ac:dyDescent="0.3">
      <c r="A20" s="14" t="s">
        <v>94</v>
      </c>
      <c r="D20" s="14" t="s">
        <v>73</v>
      </c>
      <c r="E20" s="14">
        <v>1</v>
      </c>
      <c r="F20" s="14" t="s">
        <v>12</v>
      </c>
      <c r="G20" s="14">
        <v>1</v>
      </c>
      <c r="I20" s="14">
        <f t="shared" ca="1" si="1"/>
        <v>-1.73</v>
      </c>
      <c r="O20" s="14" t="s">
        <v>7</v>
      </c>
    </row>
    <row r="21" spans="1:15" s="14" customFormat="1" x14ac:dyDescent="0.3">
      <c r="A21" s="14" t="s">
        <v>95</v>
      </c>
      <c r="D21" s="14" t="s">
        <v>73</v>
      </c>
      <c r="E21" s="14">
        <v>1</v>
      </c>
      <c r="F21" s="14" t="s">
        <v>12</v>
      </c>
      <c r="G21" s="14">
        <v>1</v>
      </c>
      <c r="I21" s="14">
        <f t="shared" ca="1" si="1"/>
        <v>-2.16</v>
      </c>
      <c r="O21" s="14" t="s">
        <v>7</v>
      </c>
    </row>
    <row r="22" spans="1:15" s="14" customFormat="1" x14ac:dyDescent="0.3">
      <c r="A22" s="14" t="s">
        <v>96</v>
      </c>
      <c r="D22" s="14" t="s">
        <v>73</v>
      </c>
      <c r="E22" s="14">
        <v>1</v>
      </c>
      <c r="F22" s="14" t="s">
        <v>12</v>
      </c>
      <c r="G22" s="14">
        <v>1</v>
      </c>
      <c r="I22" s="14">
        <f t="shared" ca="1" si="1"/>
        <v>-1.353</v>
      </c>
      <c r="O22" s="14" t="s">
        <v>7</v>
      </c>
    </row>
    <row r="23" spans="1:15" s="14" customFormat="1" x14ac:dyDescent="0.3">
      <c r="A23" s="14" t="s">
        <v>97</v>
      </c>
      <c r="D23" s="14" t="s">
        <v>73</v>
      </c>
      <c r="E23" s="14">
        <v>1</v>
      </c>
      <c r="F23" s="14" t="s">
        <v>12</v>
      </c>
      <c r="G23" s="14">
        <v>1</v>
      </c>
      <c r="I23" s="14">
        <f t="shared" ca="1" si="1"/>
        <v>-1.4530000000000001</v>
      </c>
      <c r="O23" s="14" t="s">
        <v>7</v>
      </c>
    </row>
    <row r="24" spans="1:15" s="14" customFormat="1" x14ac:dyDescent="0.3">
      <c r="A24" s="14" t="s">
        <v>98</v>
      </c>
      <c r="D24" s="14" t="s">
        <v>73</v>
      </c>
      <c r="E24" s="14">
        <v>1</v>
      </c>
      <c r="F24" s="14" t="s">
        <v>12</v>
      </c>
      <c r="G24" s="14">
        <v>1</v>
      </c>
      <c r="I24" s="14">
        <f t="shared" ca="1" si="1"/>
        <v>-1.4890000000000001</v>
      </c>
      <c r="O24" s="14" t="s">
        <v>7</v>
      </c>
    </row>
    <row r="25" spans="1:15" s="14" customFormat="1" x14ac:dyDescent="0.3">
      <c r="A25" s="14" t="s">
        <v>99</v>
      </c>
      <c r="D25" s="14" t="s">
        <v>73</v>
      </c>
      <c r="E25" s="14">
        <v>1</v>
      </c>
      <c r="F25" s="14" t="s">
        <v>12</v>
      </c>
      <c r="G25" s="14">
        <v>1</v>
      </c>
      <c r="I25" s="14">
        <f t="shared" ca="1" si="1"/>
        <v>-6.8000000000000005E-2</v>
      </c>
      <c r="O25" s="14" t="s">
        <v>7</v>
      </c>
    </row>
    <row r="26" spans="1:15" s="14" customFormat="1" x14ac:dyDescent="0.3">
      <c r="A26" s="14" t="s">
        <v>100</v>
      </c>
      <c r="D26" s="14" t="s">
        <v>73</v>
      </c>
      <c r="E26" s="14">
        <v>1</v>
      </c>
      <c r="F26" s="14" t="s">
        <v>12</v>
      </c>
      <c r="G26" s="14">
        <v>1</v>
      </c>
      <c r="I26" s="14">
        <f t="shared" ca="1" si="1"/>
        <v>-6.2E-2</v>
      </c>
      <c r="O26" s="14" t="s">
        <v>7</v>
      </c>
    </row>
    <row r="27" spans="1:15" s="14" customFormat="1" x14ac:dyDescent="0.3">
      <c r="A27" s="14" t="s">
        <v>101</v>
      </c>
      <c r="D27" s="14" t="s">
        <v>73</v>
      </c>
      <c r="E27" s="14">
        <v>1</v>
      </c>
      <c r="F27" s="14" t="s">
        <v>12</v>
      </c>
      <c r="G27" s="14">
        <v>1</v>
      </c>
      <c r="I27" s="14">
        <f t="shared" ca="1" si="1"/>
        <v>-0.81599999999999995</v>
      </c>
      <c r="O27" s="14" t="s">
        <v>7</v>
      </c>
    </row>
    <row r="28" spans="1:15" s="14" customFormat="1" x14ac:dyDescent="0.3">
      <c r="A28" s="14" t="s">
        <v>102</v>
      </c>
      <c r="D28" s="14" t="s">
        <v>73</v>
      </c>
      <c r="E28" s="14">
        <v>1</v>
      </c>
      <c r="F28" s="14" t="s">
        <v>12</v>
      </c>
      <c r="G28" s="14">
        <v>1</v>
      </c>
      <c r="I28" s="14">
        <f t="shared" ca="1" si="1"/>
        <v>-2.0230000000000001</v>
      </c>
      <c r="O28" s="14" t="s">
        <v>7</v>
      </c>
    </row>
    <row r="29" spans="1:15" s="14" customFormat="1" x14ac:dyDescent="0.3">
      <c r="A29" s="14" t="s">
        <v>103</v>
      </c>
      <c r="D29" s="14" t="s">
        <v>73</v>
      </c>
      <c r="E29" s="14">
        <v>1</v>
      </c>
      <c r="F29" s="14" t="s">
        <v>12</v>
      </c>
      <c r="G29" s="14">
        <v>1</v>
      </c>
      <c r="I29" s="14">
        <f t="shared" ca="1" si="1"/>
        <v>-0.879</v>
      </c>
      <c r="O29" s="14" t="s">
        <v>7</v>
      </c>
    </row>
    <row r="30" spans="1:15" s="14" customFormat="1" x14ac:dyDescent="0.3">
      <c r="A30" s="14" t="s">
        <v>104</v>
      </c>
      <c r="D30" s="14" t="s">
        <v>73</v>
      </c>
      <c r="E30" s="14">
        <v>1</v>
      </c>
      <c r="F30" s="14" t="s">
        <v>12</v>
      </c>
      <c r="G30" s="14">
        <v>1</v>
      </c>
      <c r="I30" s="14">
        <f t="shared" ca="1" si="1"/>
        <v>-2.0489999999999999</v>
      </c>
      <c r="O30" s="14" t="s">
        <v>7</v>
      </c>
    </row>
    <row r="31" spans="1:15" s="14" customFormat="1" x14ac:dyDescent="0.3">
      <c r="A31" s="14" t="s">
        <v>105</v>
      </c>
      <c r="D31" s="14" t="s">
        <v>73</v>
      </c>
      <c r="E31" s="14">
        <v>1</v>
      </c>
      <c r="F31" s="14" t="s">
        <v>12</v>
      </c>
      <c r="G31" s="14">
        <v>1</v>
      </c>
      <c r="I31" s="14">
        <f t="shared" ca="1" si="1"/>
        <v>-1.012</v>
      </c>
      <c r="O31" s="14" t="s">
        <v>7</v>
      </c>
    </row>
    <row r="32" spans="1:15" x14ac:dyDescent="0.3">
      <c r="A32" t="s">
        <v>106</v>
      </c>
      <c r="D32" t="s">
        <v>73</v>
      </c>
      <c r="E32">
        <v>1</v>
      </c>
      <c r="F32" t="s">
        <v>12</v>
      </c>
      <c r="G32">
        <v>1</v>
      </c>
      <c r="I32">
        <f t="shared" ref="I32:I46" ca="1" si="2">ROUND(NORMINV(RAND(),0,1),3)</f>
        <v>-1.4279999999999999</v>
      </c>
      <c r="O32" t="s">
        <v>8</v>
      </c>
    </row>
    <row r="33" spans="1:15" x14ac:dyDescent="0.3">
      <c r="A33" t="s">
        <v>107</v>
      </c>
      <c r="D33" t="s">
        <v>73</v>
      </c>
      <c r="E33">
        <v>1</v>
      </c>
      <c r="F33" t="s">
        <v>12</v>
      </c>
      <c r="G33">
        <v>1</v>
      </c>
      <c r="I33">
        <f t="shared" ca="1" si="2"/>
        <v>2.1190000000000002</v>
      </c>
      <c r="O33" t="s">
        <v>8</v>
      </c>
    </row>
    <row r="34" spans="1:15" x14ac:dyDescent="0.3">
      <c r="A34" t="s">
        <v>108</v>
      </c>
      <c r="D34" t="s">
        <v>73</v>
      </c>
      <c r="E34">
        <v>1</v>
      </c>
      <c r="F34" t="s">
        <v>12</v>
      </c>
      <c r="G34">
        <v>1</v>
      </c>
      <c r="I34">
        <f t="shared" ca="1" si="2"/>
        <v>-2.121</v>
      </c>
      <c r="O34" t="s">
        <v>8</v>
      </c>
    </row>
    <row r="35" spans="1:15" x14ac:dyDescent="0.3">
      <c r="A35" t="s">
        <v>109</v>
      </c>
      <c r="D35" t="s">
        <v>73</v>
      </c>
      <c r="E35">
        <v>1</v>
      </c>
      <c r="F35" t="s">
        <v>12</v>
      </c>
      <c r="G35">
        <v>1</v>
      </c>
      <c r="I35">
        <f t="shared" ca="1" si="2"/>
        <v>2.7E-2</v>
      </c>
      <c r="O35" t="s">
        <v>8</v>
      </c>
    </row>
    <row r="36" spans="1:15" x14ac:dyDescent="0.3">
      <c r="A36" t="s">
        <v>110</v>
      </c>
      <c r="D36" t="s">
        <v>73</v>
      </c>
      <c r="E36">
        <v>1</v>
      </c>
      <c r="F36" t="s">
        <v>12</v>
      </c>
      <c r="G36">
        <v>1</v>
      </c>
      <c r="I36">
        <f t="shared" ca="1" si="2"/>
        <v>-1.895</v>
      </c>
      <c r="O36" t="s">
        <v>8</v>
      </c>
    </row>
    <row r="37" spans="1:15" x14ac:dyDescent="0.3">
      <c r="A37" t="s">
        <v>111</v>
      </c>
      <c r="D37" t="s">
        <v>73</v>
      </c>
      <c r="E37">
        <v>1</v>
      </c>
      <c r="F37" t="s">
        <v>12</v>
      </c>
      <c r="G37">
        <v>1</v>
      </c>
      <c r="I37">
        <f t="shared" ca="1" si="2"/>
        <v>0.93300000000000005</v>
      </c>
      <c r="O37" t="s">
        <v>8</v>
      </c>
    </row>
    <row r="38" spans="1:15" x14ac:dyDescent="0.3">
      <c r="A38" t="s">
        <v>112</v>
      </c>
      <c r="D38" t="s">
        <v>73</v>
      </c>
      <c r="E38">
        <v>1</v>
      </c>
      <c r="F38" t="s">
        <v>12</v>
      </c>
      <c r="G38">
        <v>1</v>
      </c>
      <c r="I38">
        <f t="shared" ca="1" si="2"/>
        <v>-0.7</v>
      </c>
      <c r="O38" t="s">
        <v>8</v>
      </c>
    </row>
    <row r="39" spans="1:15" x14ac:dyDescent="0.3">
      <c r="A39" t="s">
        <v>113</v>
      </c>
      <c r="D39" t="s">
        <v>73</v>
      </c>
      <c r="E39">
        <v>1</v>
      </c>
      <c r="F39" t="s">
        <v>12</v>
      </c>
      <c r="G39">
        <v>1</v>
      </c>
      <c r="I39">
        <f t="shared" ca="1" si="2"/>
        <v>0.46</v>
      </c>
      <c r="O39" t="s">
        <v>8</v>
      </c>
    </row>
    <row r="40" spans="1:15" x14ac:dyDescent="0.3">
      <c r="A40" t="s">
        <v>114</v>
      </c>
      <c r="D40" t="s">
        <v>73</v>
      </c>
      <c r="E40">
        <v>1</v>
      </c>
      <c r="F40" t="s">
        <v>12</v>
      </c>
      <c r="G40">
        <v>1</v>
      </c>
      <c r="I40">
        <f t="shared" ca="1" si="2"/>
        <v>-0.71799999999999997</v>
      </c>
      <c r="O40" t="s">
        <v>8</v>
      </c>
    </row>
    <row r="41" spans="1:15" x14ac:dyDescent="0.3">
      <c r="A41" t="s">
        <v>115</v>
      </c>
      <c r="D41" t="s">
        <v>73</v>
      </c>
      <c r="E41">
        <v>1</v>
      </c>
      <c r="F41" t="s">
        <v>12</v>
      </c>
      <c r="G41">
        <v>1</v>
      </c>
      <c r="I41">
        <f t="shared" ca="1" si="2"/>
        <v>0.104</v>
      </c>
      <c r="O41" t="s">
        <v>8</v>
      </c>
    </row>
    <row r="42" spans="1:15" x14ac:dyDescent="0.3">
      <c r="A42" t="s">
        <v>116</v>
      </c>
      <c r="D42" t="s">
        <v>73</v>
      </c>
      <c r="E42">
        <v>1</v>
      </c>
      <c r="F42" t="s">
        <v>12</v>
      </c>
      <c r="G42">
        <v>1</v>
      </c>
      <c r="I42">
        <f t="shared" ca="1" si="2"/>
        <v>0.64800000000000002</v>
      </c>
      <c r="O42" t="s">
        <v>8</v>
      </c>
    </row>
    <row r="43" spans="1:15" x14ac:dyDescent="0.3">
      <c r="A43" t="s">
        <v>117</v>
      </c>
      <c r="D43" t="s">
        <v>73</v>
      </c>
      <c r="E43">
        <v>1</v>
      </c>
      <c r="F43" t="s">
        <v>12</v>
      </c>
      <c r="G43">
        <v>1</v>
      </c>
      <c r="I43">
        <f t="shared" ca="1" si="2"/>
        <v>0.79900000000000004</v>
      </c>
      <c r="O43" t="s">
        <v>8</v>
      </c>
    </row>
    <row r="44" spans="1:15" x14ac:dyDescent="0.3">
      <c r="A44" t="s">
        <v>118</v>
      </c>
      <c r="D44" t="s">
        <v>73</v>
      </c>
      <c r="E44">
        <v>1</v>
      </c>
      <c r="F44" t="s">
        <v>12</v>
      </c>
      <c r="G44">
        <v>1</v>
      </c>
      <c r="I44">
        <f t="shared" ca="1" si="2"/>
        <v>0.38100000000000001</v>
      </c>
      <c r="O44" t="s">
        <v>8</v>
      </c>
    </row>
    <row r="45" spans="1:15" x14ac:dyDescent="0.3">
      <c r="A45" t="s">
        <v>119</v>
      </c>
      <c r="D45" t="s">
        <v>73</v>
      </c>
      <c r="E45">
        <v>1</v>
      </c>
      <c r="F45" t="s">
        <v>12</v>
      </c>
      <c r="G45">
        <v>1</v>
      </c>
      <c r="I45">
        <f t="shared" ca="1" si="2"/>
        <v>-1.099</v>
      </c>
      <c r="O45" t="s">
        <v>8</v>
      </c>
    </row>
    <row r="46" spans="1:15" x14ac:dyDescent="0.3">
      <c r="A46" t="s">
        <v>120</v>
      </c>
      <c r="D46" t="s">
        <v>73</v>
      </c>
      <c r="E46">
        <v>1</v>
      </c>
      <c r="F46" t="s">
        <v>12</v>
      </c>
      <c r="G46">
        <v>1</v>
      </c>
      <c r="I46">
        <f t="shared" ca="1" si="2"/>
        <v>0.23</v>
      </c>
      <c r="O46" t="s">
        <v>8</v>
      </c>
    </row>
    <row r="47" spans="1:15" s="14" customFormat="1" x14ac:dyDescent="0.3">
      <c r="A47" s="14" t="s">
        <v>121</v>
      </c>
      <c r="D47" s="14" t="s">
        <v>73</v>
      </c>
      <c r="E47" s="14">
        <v>1</v>
      </c>
      <c r="F47" s="14" t="s">
        <v>12</v>
      </c>
      <c r="G47" s="14">
        <v>1</v>
      </c>
      <c r="I47" s="14">
        <f ca="1">ROUND(NORMINV(RAND(),1,1),3)</f>
        <v>1.5760000000000001</v>
      </c>
      <c r="O47" s="14" t="s">
        <v>58</v>
      </c>
    </row>
    <row r="48" spans="1:15" s="14" customFormat="1" x14ac:dyDescent="0.3">
      <c r="A48" s="14" t="s">
        <v>122</v>
      </c>
      <c r="D48" s="14" t="s">
        <v>73</v>
      </c>
      <c r="E48" s="14">
        <v>1</v>
      </c>
      <c r="F48" s="14" t="s">
        <v>12</v>
      </c>
      <c r="G48" s="14">
        <v>1</v>
      </c>
      <c r="I48" s="14">
        <f t="shared" ref="I48:I61" ca="1" si="3">ROUND(NORMINV(RAND(),1,1),3)</f>
        <v>0.72799999999999998</v>
      </c>
      <c r="O48" s="14" t="s">
        <v>58</v>
      </c>
    </row>
    <row r="49" spans="1:15" s="14" customFormat="1" x14ac:dyDescent="0.3">
      <c r="A49" s="14" t="s">
        <v>123</v>
      </c>
      <c r="D49" s="14" t="s">
        <v>73</v>
      </c>
      <c r="E49" s="14">
        <v>1</v>
      </c>
      <c r="F49" s="14" t="s">
        <v>12</v>
      </c>
      <c r="G49" s="14">
        <v>1</v>
      </c>
      <c r="I49" s="14">
        <f t="shared" ca="1" si="3"/>
        <v>2.0169999999999999</v>
      </c>
      <c r="O49" s="14" t="s">
        <v>58</v>
      </c>
    </row>
    <row r="50" spans="1:15" s="14" customFormat="1" x14ac:dyDescent="0.3">
      <c r="A50" s="14" t="s">
        <v>124</v>
      </c>
      <c r="D50" s="14" t="s">
        <v>73</v>
      </c>
      <c r="E50" s="14">
        <v>1</v>
      </c>
      <c r="F50" s="14" t="s">
        <v>12</v>
      </c>
      <c r="G50" s="14">
        <v>1</v>
      </c>
      <c r="I50" s="14">
        <f t="shared" ca="1" si="3"/>
        <v>-0.33600000000000002</v>
      </c>
      <c r="O50" s="14" t="s">
        <v>58</v>
      </c>
    </row>
    <row r="51" spans="1:15" s="14" customFormat="1" x14ac:dyDescent="0.3">
      <c r="A51" s="14" t="s">
        <v>125</v>
      </c>
      <c r="D51" s="14" t="s">
        <v>73</v>
      </c>
      <c r="E51" s="14">
        <v>1</v>
      </c>
      <c r="F51" s="14" t="s">
        <v>12</v>
      </c>
      <c r="G51" s="14">
        <v>1</v>
      </c>
      <c r="I51" s="14">
        <f t="shared" ca="1" si="3"/>
        <v>0.67500000000000004</v>
      </c>
      <c r="O51" s="14" t="s">
        <v>58</v>
      </c>
    </row>
    <row r="52" spans="1:15" s="14" customFormat="1" x14ac:dyDescent="0.3">
      <c r="A52" s="14" t="s">
        <v>126</v>
      </c>
      <c r="D52" s="14" t="s">
        <v>73</v>
      </c>
      <c r="E52" s="14">
        <v>1</v>
      </c>
      <c r="F52" s="14" t="s">
        <v>12</v>
      </c>
      <c r="G52" s="14">
        <v>1</v>
      </c>
      <c r="I52" s="14">
        <f t="shared" ca="1" si="3"/>
        <v>2.4E-2</v>
      </c>
      <c r="O52" s="14" t="s">
        <v>58</v>
      </c>
    </row>
    <row r="53" spans="1:15" s="14" customFormat="1" x14ac:dyDescent="0.3">
      <c r="A53" s="14" t="s">
        <v>127</v>
      </c>
      <c r="D53" s="14" t="s">
        <v>73</v>
      </c>
      <c r="E53" s="14">
        <v>1</v>
      </c>
      <c r="F53" s="14" t="s">
        <v>12</v>
      </c>
      <c r="G53" s="14">
        <v>1</v>
      </c>
      <c r="I53" s="14">
        <f t="shared" ca="1" si="3"/>
        <v>2.8000000000000001E-2</v>
      </c>
      <c r="O53" s="14" t="s">
        <v>58</v>
      </c>
    </row>
    <row r="54" spans="1:15" s="14" customFormat="1" x14ac:dyDescent="0.3">
      <c r="A54" s="14" t="s">
        <v>128</v>
      </c>
      <c r="D54" s="14" t="s">
        <v>73</v>
      </c>
      <c r="E54" s="14">
        <v>1</v>
      </c>
      <c r="F54" s="14" t="s">
        <v>12</v>
      </c>
      <c r="G54" s="14">
        <v>1</v>
      </c>
      <c r="I54" s="14">
        <f t="shared" ca="1" si="3"/>
        <v>1.4219999999999999</v>
      </c>
      <c r="O54" s="14" t="s">
        <v>58</v>
      </c>
    </row>
    <row r="55" spans="1:15" s="14" customFormat="1" x14ac:dyDescent="0.3">
      <c r="A55" s="14" t="s">
        <v>129</v>
      </c>
      <c r="D55" s="14" t="s">
        <v>73</v>
      </c>
      <c r="E55" s="14">
        <v>1</v>
      </c>
      <c r="F55" s="14" t="s">
        <v>12</v>
      </c>
      <c r="G55" s="14">
        <v>1</v>
      </c>
      <c r="I55" s="14">
        <f t="shared" ca="1" si="3"/>
        <v>1.0740000000000001</v>
      </c>
      <c r="O55" s="14" t="s">
        <v>58</v>
      </c>
    </row>
    <row r="56" spans="1:15" s="14" customFormat="1" x14ac:dyDescent="0.3">
      <c r="A56" s="14" t="s">
        <v>130</v>
      </c>
      <c r="D56" s="14" t="s">
        <v>73</v>
      </c>
      <c r="E56" s="14">
        <v>1</v>
      </c>
      <c r="F56" s="14" t="s">
        <v>12</v>
      </c>
      <c r="G56" s="14">
        <v>1</v>
      </c>
      <c r="I56" s="14">
        <f t="shared" ca="1" si="3"/>
        <v>0.23400000000000001</v>
      </c>
      <c r="O56" s="14" t="s">
        <v>58</v>
      </c>
    </row>
    <row r="57" spans="1:15" s="14" customFormat="1" x14ac:dyDescent="0.3">
      <c r="A57" s="14" t="s">
        <v>131</v>
      </c>
      <c r="D57" s="14" t="s">
        <v>73</v>
      </c>
      <c r="E57" s="14">
        <v>1</v>
      </c>
      <c r="F57" s="14" t="s">
        <v>12</v>
      </c>
      <c r="G57" s="14">
        <v>1</v>
      </c>
      <c r="I57" s="14">
        <f t="shared" ca="1" si="3"/>
        <v>1.401</v>
      </c>
      <c r="O57" s="14" t="s">
        <v>58</v>
      </c>
    </row>
    <row r="58" spans="1:15" s="14" customFormat="1" x14ac:dyDescent="0.3">
      <c r="A58" s="14" t="s">
        <v>132</v>
      </c>
      <c r="D58" s="14" t="s">
        <v>73</v>
      </c>
      <c r="E58" s="14">
        <v>1</v>
      </c>
      <c r="F58" s="14" t="s">
        <v>12</v>
      </c>
      <c r="G58" s="14">
        <v>1</v>
      </c>
      <c r="I58" s="14">
        <f t="shared" ca="1" si="3"/>
        <v>1.5289999999999999</v>
      </c>
      <c r="O58" s="14" t="s">
        <v>58</v>
      </c>
    </row>
    <row r="59" spans="1:15" s="14" customFormat="1" x14ac:dyDescent="0.3">
      <c r="A59" s="14" t="s">
        <v>133</v>
      </c>
      <c r="D59" s="14" t="s">
        <v>73</v>
      </c>
      <c r="E59" s="14">
        <v>1</v>
      </c>
      <c r="F59" s="14" t="s">
        <v>12</v>
      </c>
      <c r="G59" s="14">
        <v>1</v>
      </c>
      <c r="I59" s="14">
        <f t="shared" ca="1" si="3"/>
        <v>1.3839999999999999</v>
      </c>
      <c r="O59" s="14" t="s">
        <v>58</v>
      </c>
    </row>
    <row r="60" spans="1:15" s="14" customFormat="1" x14ac:dyDescent="0.3">
      <c r="A60" s="14" t="s">
        <v>134</v>
      </c>
      <c r="D60" s="14" t="s">
        <v>73</v>
      </c>
      <c r="E60" s="14">
        <v>1</v>
      </c>
      <c r="F60" s="14" t="s">
        <v>12</v>
      </c>
      <c r="G60" s="14">
        <v>1</v>
      </c>
      <c r="I60" s="14">
        <f t="shared" ca="1" si="3"/>
        <v>1.5229999999999999</v>
      </c>
      <c r="O60" s="14" t="s">
        <v>58</v>
      </c>
    </row>
    <row r="61" spans="1:15" s="14" customFormat="1" x14ac:dyDescent="0.3">
      <c r="A61" s="14" t="s">
        <v>135</v>
      </c>
      <c r="D61" s="14" t="s">
        <v>73</v>
      </c>
      <c r="E61" s="14">
        <v>1</v>
      </c>
      <c r="F61" s="14" t="s">
        <v>12</v>
      </c>
      <c r="G61" s="14">
        <v>1</v>
      </c>
      <c r="I61" s="14">
        <f t="shared" ca="1" si="3"/>
        <v>2.1539999999999999</v>
      </c>
      <c r="O61" s="14" t="s">
        <v>58</v>
      </c>
    </row>
  </sheetData>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zoomScaleNormal="100" workbookViewId="0">
      <pane ySplit="1" topLeftCell="A2" activePane="bottomLeft" state="frozen"/>
      <selection pane="bottomLeft" activeCell="D22" sqref="D22"/>
    </sheetView>
  </sheetViews>
  <sheetFormatPr defaultRowHeight="14.4" x14ac:dyDescent="0.3"/>
  <cols>
    <col min="1" max="1" width="15.77734375" customWidth="1"/>
    <col min="2" max="2" width="23.109375" customWidth="1"/>
    <col min="3" max="3" width="19.77734375" bestFit="1" customWidth="1"/>
  </cols>
  <sheetData>
    <row r="1" spans="1:3" x14ac:dyDescent="0.3">
      <c r="A1" s="2" t="s">
        <v>25</v>
      </c>
      <c r="B1" s="2" t="s">
        <v>27</v>
      </c>
      <c r="C1" s="2" t="s">
        <v>28</v>
      </c>
    </row>
    <row r="2" spans="1:3" x14ac:dyDescent="0.3">
      <c r="A2" t="s">
        <v>41</v>
      </c>
      <c r="C2" t="s">
        <v>6</v>
      </c>
    </row>
    <row r="3" spans="1:3" x14ac:dyDescent="0.3">
      <c r="A3" t="s">
        <v>6</v>
      </c>
      <c r="B3" s="6" t="s">
        <v>59</v>
      </c>
      <c r="C3" t="s">
        <v>7</v>
      </c>
    </row>
    <row r="4" spans="1:3" x14ac:dyDescent="0.3">
      <c r="A4" t="s">
        <v>6</v>
      </c>
      <c r="B4" s="6" t="s">
        <v>61</v>
      </c>
      <c r="C4" t="s">
        <v>8</v>
      </c>
    </row>
    <row r="5" spans="1:3" x14ac:dyDescent="0.3">
      <c r="A5" t="s">
        <v>6</v>
      </c>
      <c r="B5" s="6" t="s">
        <v>60</v>
      </c>
      <c r="C5" t="s">
        <v>58</v>
      </c>
    </row>
    <row r="6" spans="1:3" x14ac:dyDescent="0.3">
      <c r="A6" t="s">
        <v>7</v>
      </c>
      <c r="C6" t="s">
        <v>26</v>
      </c>
    </row>
    <row r="7" spans="1:3" x14ac:dyDescent="0.3">
      <c r="A7" t="s">
        <v>8</v>
      </c>
      <c r="C7" t="s">
        <v>26</v>
      </c>
    </row>
    <row r="8" spans="1:3" x14ac:dyDescent="0.3">
      <c r="A8" t="s">
        <v>58</v>
      </c>
      <c r="C8" t="s">
        <v>26</v>
      </c>
    </row>
    <row r="25" spans="6:6" x14ac:dyDescent="0.3">
      <c r="F25" t="s">
        <v>43</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zoomScaleNormal="100" workbookViewId="0">
      <pane ySplit="1" topLeftCell="A2" activePane="bottomLeft" state="frozen"/>
      <selection pane="bottomLeft" activeCell="G1" sqref="G1"/>
    </sheetView>
  </sheetViews>
  <sheetFormatPr defaultRowHeight="14.4" x14ac:dyDescent="0.3"/>
  <cols>
    <col min="1" max="1" width="38.33203125" customWidth="1"/>
    <col min="2" max="2" width="15" style="5" bestFit="1"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19</v>
      </c>
      <c r="C1" s="7" t="s">
        <v>48</v>
      </c>
      <c r="D1" s="1" t="s">
        <v>14</v>
      </c>
      <c r="E1" s="1" t="s">
        <v>47</v>
      </c>
      <c r="F1" s="1" t="s">
        <v>46</v>
      </c>
      <c r="G1" s="1" t="s">
        <v>15</v>
      </c>
      <c r="H1" s="1" t="s">
        <v>20</v>
      </c>
      <c r="I1" s="1" t="s">
        <v>16</v>
      </c>
      <c r="J1" s="1" t="s">
        <v>17</v>
      </c>
      <c r="K1" s="9" t="s">
        <v>0</v>
      </c>
      <c r="L1" s="13" t="s">
        <v>52</v>
      </c>
    </row>
    <row r="2" spans="1:12" x14ac:dyDescent="0.3">
      <c r="A2" t="s">
        <v>31</v>
      </c>
      <c r="D2" t="s">
        <v>18</v>
      </c>
      <c r="F2" s="3" t="s">
        <v>69</v>
      </c>
    </row>
    <row r="3" spans="1:12" x14ac:dyDescent="0.3">
      <c r="A3" s="6" t="s">
        <v>30</v>
      </c>
      <c r="B3" s="8" t="s">
        <v>62</v>
      </c>
      <c r="C3" s="8"/>
      <c r="D3" s="6"/>
      <c r="E3" s="6"/>
      <c r="F3" s="6"/>
      <c r="G3" s="6"/>
      <c r="H3" s="6"/>
      <c r="I3" s="6"/>
      <c r="J3" s="6"/>
    </row>
    <row r="4" spans="1:12" x14ac:dyDescent="0.3">
      <c r="A4" s="6" t="s">
        <v>74</v>
      </c>
      <c r="B4" s="8" t="s">
        <v>75</v>
      </c>
      <c r="C4" s="8"/>
      <c r="D4" s="6"/>
      <c r="E4" s="6"/>
      <c r="F4" s="6"/>
      <c r="G4" s="6"/>
      <c r="H4" s="6"/>
      <c r="I4" s="6"/>
      <c r="J4" s="6"/>
    </row>
    <row r="5" spans="1:12" x14ac:dyDescent="0.3">
      <c r="A5" t="s">
        <v>63</v>
      </c>
      <c r="C5" s="8"/>
      <c r="D5" s="6"/>
      <c r="E5" s="6"/>
      <c r="F5" s="6"/>
      <c r="G5" s="6"/>
      <c r="H5" s="6"/>
      <c r="I5" s="6"/>
      <c r="J5" s="6"/>
    </row>
    <row r="6" spans="1:12" x14ac:dyDescent="0.3">
      <c r="A6" t="s">
        <v>64</v>
      </c>
      <c r="B6" s="12">
        <v>0.55000000000000004</v>
      </c>
      <c r="C6" s="8"/>
      <c r="D6" s="6"/>
      <c r="E6" s="6"/>
      <c r="F6" s="6"/>
      <c r="G6" s="6"/>
      <c r="H6" s="6"/>
      <c r="I6" s="6"/>
      <c r="J6" s="6"/>
    </row>
    <row r="7" spans="1:12" x14ac:dyDescent="0.3">
      <c r="A7" t="s">
        <v>65</v>
      </c>
      <c r="C7" s="8"/>
      <c r="D7" s="6"/>
      <c r="I7" s="6"/>
      <c r="J7" s="6"/>
    </row>
    <row r="8" spans="1:12" x14ac:dyDescent="0.3">
      <c r="A8" t="s">
        <v>66</v>
      </c>
      <c r="B8" s="12"/>
      <c r="C8" s="8"/>
      <c r="I8" s="6"/>
      <c r="J8" s="6"/>
      <c r="K8"/>
    </row>
    <row r="9" spans="1:12" x14ac:dyDescent="0.3">
      <c r="A9" t="s">
        <v>67</v>
      </c>
      <c r="C9" s="8"/>
      <c r="F9" s="3"/>
      <c r="K9"/>
    </row>
    <row r="10" spans="1:12" x14ac:dyDescent="0.3">
      <c r="C10" s="8"/>
      <c r="D10" s="6"/>
      <c r="I10" s="6"/>
      <c r="J10" s="6"/>
    </row>
    <row r="11" spans="1:12" x14ac:dyDescent="0.3">
      <c r="C11" s="8"/>
      <c r="D11" s="6"/>
      <c r="I11" s="6"/>
      <c r="J11" s="6"/>
    </row>
    <row r="12" spans="1:12" x14ac:dyDescent="0.3">
      <c r="C12" s="8"/>
      <c r="D12" s="6"/>
      <c r="I12" s="6"/>
      <c r="J12" s="6"/>
    </row>
  </sheetData>
  <phoneticPr fontId="1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3079-B357-4990-8A36-6C3BFEA06D2D}">
  <dimension ref="A1:L12"/>
  <sheetViews>
    <sheetView zoomScaleNormal="100" workbookViewId="0">
      <pane ySplit="1" topLeftCell="A2" activePane="bottomLeft" state="frozen"/>
      <selection pane="bottomLeft" activeCell="G1" sqref="G1"/>
    </sheetView>
  </sheetViews>
  <sheetFormatPr defaultRowHeight="14.4" x14ac:dyDescent="0.3"/>
  <cols>
    <col min="1" max="1" width="38.33203125" customWidth="1"/>
    <col min="2" max="2" width="15" style="5" bestFit="1"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19</v>
      </c>
      <c r="C1" s="7" t="s">
        <v>48</v>
      </c>
      <c r="D1" s="1" t="s">
        <v>14</v>
      </c>
      <c r="E1" s="1" t="s">
        <v>47</v>
      </c>
      <c r="F1" s="1" t="s">
        <v>46</v>
      </c>
      <c r="G1" s="1" t="s">
        <v>15</v>
      </c>
      <c r="H1" s="1" t="s">
        <v>20</v>
      </c>
      <c r="I1" s="1" t="s">
        <v>16</v>
      </c>
      <c r="J1" s="1" t="s">
        <v>17</v>
      </c>
      <c r="K1" s="9" t="s">
        <v>0</v>
      </c>
      <c r="L1" s="13" t="s">
        <v>52</v>
      </c>
    </row>
    <row r="2" spans="1:12" x14ac:dyDescent="0.3">
      <c r="A2" t="s">
        <v>31</v>
      </c>
      <c r="D2" t="s">
        <v>18</v>
      </c>
      <c r="F2" s="3" t="s">
        <v>70</v>
      </c>
    </row>
    <row r="3" spans="1:12" x14ac:dyDescent="0.3">
      <c r="A3" s="6" t="s">
        <v>30</v>
      </c>
      <c r="B3" s="8" t="s">
        <v>62</v>
      </c>
      <c r="C3" s="8"/>
      <c r="D3" s="6"/>
      <c r="E3" s="6"/>
      <c r="F3" s="6"/>
      <c r="G3" s="6"/>
      <c r="H3" s="6"/>
      <c r="I3" s="6"/>
      <c r="J3" s="6"/>
    </row>
    <row r="4" spans="1:12" x14ac:dyDescent="0.3">
      <c r="A4" s="6" t="s">
        <v>74</v>
      </c>
      <c r="B4" s="8" t="s">
        <v>75</v>
      </c>
      <c r="C4" s="8"/>
      <c r="D4" s="6"/>
      <c r="E4" s="6"/>
      <c r="F4" s="6"/>
      <c r="G4" s="6"/>
      <c r="H4" s="6"/>
      <c r="I4" s="6"/>
      <c r="J4" s="6"/>
    </row>
    <row r="5" spans="1:12" x14ac:dyDescent="0.3">
      <c r="A5" t="s">
        <v>63</v>
      </c>
      <c r="C5" s="8"/>
      <c r="D5" s="6"/>
      <c r="E5" s="6"/>
      <c r="F5" s="6"/>
      <c r="G5" s="6"/>
      <c r="H5" s="6"/>
      <c r="I5" s="6"/>
      <c r="J5" s="6"/>
    </row>
    <row r="6" spans="1:12" x14ac:dyDescent="0.3">
      <c r="A6" t="s">
        <v>64</v>
      </c>
      <c r="B6" s="12">
        <v>0.45</v>
      </c>
      <c r="C6" s="8"/>
      <c r="D6" s="6"/>
      <c r="E6" s="6"/>
      <c r="F6" s="6"/>
      <c r="G6" s="6"/>
      <c r="H6" s="6"/>
      <c r="I6" s="6"/>
      <c r="J6" s="6"/>
    </row>
    <row r="7" spans="1:12" x14ac:dyDescent="0.3">
      <c r="A7" t="s">
        <v>65</v>
      </c>
      <c r="C7" s="8"/>
      <c r="D7" s="6"/>
      <c r="I7" s="6"/>
      <c r="J7" s="6"/>
    </row>
    <row r="8" spans="1:12" x14ac:dyDescent="0.3">
      <c r="A8" t="s">
        <v>66</v>
      </c>
      <c r="B8" s="12"/>
      <c r="C8" s="8"/>
      <c r="I8" s="6"/>
      <c r="J8" s="6"/>
      <c r="K8"/>
    </row>
    <row r="9" spans="1:12" x14ac:dyDescent="0.3">
      <c r="A9" t="s">
        <v>67</v>
      </c>
      <c r="C9" s="8"/>
      <c r="F9" s="3"/>
      <c r="K9"/>
    </row>
    <row r="10" spans="1:12" x14ac:dyDescent="0.3">
      <c r="C10" s="8"/>
      <c r="D10" s="6"/>
      <c r="I10" s="6"/>
      <c r="J10" s="6"/>
    </row>
    <row r="11" spans="1:12" x14ac:dyDescent="0.3">
      <c r="C11" s="8"/>
      <c r="D11" s="6"/>
      <c r="I11" s="6"/>
      <c r="J11" s="6"/>
    </row>
    <row r="12" spans="1:12" x14ac:dyDescent="0.3">
      <c r="C12" s="8"/>
      <c r="D12" s="6"/>
      <c r="I12" s="6"/>
      <c r="J12" s="6"/>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41A7-813C-4338-9137-8FD7C8F44182}">
  <dimension ref="A1:L12"/>
  <sheetViews>
    <sheetView zoomScaleNormal="100" workbookViewId="0">
      <pane ySplit="1" topLeftCell="A2" activePane="bottomLeft" state="frozen"/>
      <selection pane="bottomLeft" activeCell="G1" sqref="G1"/>
    </sheetView>
  </sheetViews>
  <sheetFormatPr defaultRowHeight="14.4" x14ac:dyDescent="0.3"/>
  <cols>
    <col min="1" max="1" width="38.33203125" customWidth="1"/>
    <col min="2" max="2" width="15" style="5" bestFit="1"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19</v>
      </c>
      <c r="C1" s="7" t="s">
        <v>48</v>
      </c>
      <c r="D1" s="1" t="s">
        <v>14</v>
      </c>
      <c r="E1" s="1" t="s">
        <v>47</v>
      </c>
      <c r="F1" s="1" t="s">
        <v>46</v>
      </c>
      <c r="G1" s="1" t="s">
        <v>15</v>
      </c>
      <c r="H1" s="1" t="s">
        <v>20</v>
      </c>
      <c r="I1" s="1" t="s">
        <v>16</v>
      </c>
      <c r="J1" s="1" t="s">
        <v>17</v>
      </c>
      <c r="K1" s="9" t="s">
        <v>0</v>
      </c>
      <c r="L1" s="13" t="s">
        <v>52</v>
      </c>
    </row>
    <row r="2" spans="1:12" x14ac:dyDescent="0.3">
      <c r="A2" t="s">
        <v>31</v>
      </c>
      <c r="D2" t="s">
        <v>18</v>
      </c>
      <c r="F2" s="3" t="s">
        <v>71</v>
      </c>
    </row>
    <row r="3" spans="1:12" x14ac:dyDescent="0.3">
      <c r="A3" s="6" t="s">
        <v>30</v>
      </c>
      <c r="B3" s="8" t="s">
        <v>62</v>
      </c>
      <c r="C3" s="8"/>
      <c r="D3" s="6"/>
      <c r="E3" s="6"/>
      <c r="F3" s="6"/>
      <c r="G3" s="6"/>
      <c r="H3" s="6"/>
      <c r="I3" s="6"/>
      <c r="J3" s="6"/>
    </row>
    <row r="4" spans="1:12" x14ac:dyDescent="0.3">
      <c r="A4" s="6" t="s">
        <v>74</v>
      </c>
      <c r="B4" s="8" t="s">
        <v>75</v>
      </c>
      <c r="C4" s="8"/>
      <c r="D4" s="6"/>
      <c r="E4" s="6"/>
      <c r="F4" s="6"/>
      <c r="G4" s="6"/>
      <c r="H4" s="6"/>
      <c r="I4" s="6"/>
      <c r="J4" s="6"/>
    </row>
    <row r="5" spans="1:12" x14ac:dyDescent="0.3">
      <c r="A5" t="s">
        <v>63</v>
      </c>
      <c r="C5" s="8"/>
      <c r="D5" s="6"/>
      <c r="E5" s="6"/>
      <c r="F5" s="6"/>
      <c r="G5" s="6"/>
      <c r="H5" s="6"/>
      <c r="I5" s="6"/>
      <c r="J5" s="6"/>
    </row>
    <row r="6" spans="1:12" x14ac:dyDescent="0.3">
      <c r="A6" t="s">
        <v>64</v>
      </c>
      <c r="B6" s="12">
        <v>0.45</v>
      </c>
      <c r="C6" s="8"/>
      <c r="D6" s="6"/>
      <c r="E6" s="6"/>
      <c r="F6" s="6"/>
      <c r="G6" s="6"/>
      <c r="H6" s="6"/>
      <c r="I6" s="6"/>
      <c r="J6" s="6"/>
    </row>
    <row r="7" spans="1:12" x14ac:dyDescent="0.3">
      <c r="A7" t="s">
        <v>65</v>
      </c>
      <c r="C7" s="8"/>
      <c r="D7" s="6"/>
      <c r="I7" s="6"/>
      <c r="J7" s="6"/>
    </row>
    <row r="8" spans="1:12" x14ac:dyDescent="0.3">
      <c r="A8" t="s">
        <v>66</v>
      </c>
      <c r="B8" s="12"/>
      <c r="C8" s="8"/>
      <c r="I8" s="6"/>
      <c r="J8" s="6"/>
      <c r="K8"/>
    </row>
    <row r="9" spans="1:12" x14ac:dyDescent="0.3">
      <c r="A9" t="s">
        <v>67</v>
      </c>
      <c r="C9" s="8"/>
      <c r="F9" s="3"/>
      <c r="K9"/>
    </row>
    <row r="10" spans="1:12" x14ac:dyDescent="0.3">
      <c r="C10" s="8"/>
      <c r="D10" s="6"/>
      <c r="I10" s="6"/>
      <c r="J10" s="6"/>
    </row>
    <row r="11" spans="1:12" x14ac:dyDescent="0.3">
      <c r="C11" s="8"/>
      <c r="D11" s="6"/>
      <c r="I11" s="6"/>
      <c r="J11" s="6"/>
    </row>
    <row r="12" spans="1:12" x14ac:dyDescent="0.3">
      <c r="C12" s="8"/>
      <c r="D12" s="6"/>
      <c r="I12" s="6"/>
      <c r="J12" s="6"/>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1C395-5F59-4370-A3E6-F85C0E761B76}">
  <dimension ref="A1:L12"/>
  <sheetViews>
    <sheetView zoomScaleNormal="100" workbookViewId="0">
      <pane ySplit="1" topLeftCell="A2" activePane="bottomLeft" state="frozen"/>
      <selection pane="bottomLeft" activeCell="D23" sqref="D23"/>
    </sheetView>
  </sheetViews>
  <sheetFormatPr defaultRowHeight="14.4" x14ac:dyDescent="0.3"/>
  <cols>
    <col min="1" max="1" width="38.33203125" customWidth="1"/>
    <col min="2" max="2" width="15" style="5" bestFit="1"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19</v>
      </c>
      <c r="C1" s="7" t="s">
        <v>48</v>
      </c>
      <c r="D1" s="1" t="s">
        <v>14</v>
      </c>
      <c r="E1" s="1" t="s">
        <v>47</v>
      </c>
      <c r="F1" s="1" t="s">
        <v>46</v>
      </c>
      <c r="G1" s="1" t="s">
        <v>15</v>
      </c>
      <c r="H1" s="1" t="s">
        <v>20</v>
      </c>
      <c r="I1" s="1" t="s">
        <v>16</v>
      </c>
      <c r="J1" s="1" t="s">
        <v>17</v>
      </c>
      <c r="K1" s="9" t="s">
        <v>0</v>
      </c>
      <c r="L1" s="13" t="s">
        <v>52</v>
      </c>
    </row>
    <row r="2" spans="1:12" x14ac:dyDescent="0.3">
      <c r="A2" t="s">
        <v>31</v>
      </c>
      <c r="D2" t="s">
        <v>18</v>
      </c>
      <c r="F2" s="3" t="s">
        <v>72</v>
      </c>
    </row>
    <row r="3" spans="1:12" x14ac:dyDescent="0.3">
      <c r="A3" s="6" t="s">
        <v>30</v>
      </c>
      <c r="B3" s="8" t="s">
        <v>62</v>
      </c>
      <c r="C3" s="8"/>
      <c r="D3" s="6"/>
      <c r="E3" s="6"/>
      <c r="F3" s="6"/>
      <c r="G3" s="6"/>
      <c r="H3" s="6"/>
      <c r="I3" s="6"/>
      <c r="J3" s="6"/>
    </row>
    <row r="4" spans="1:12" x14ac:dyDescent="0.3">
      <c r="A4" s="6" t="s">
        <v>74</v>
      </c>
      <c r="B4" s="8" t="s">
        <v>75</v>
      </c>
      <c r="C4" s="8"/>
      <c r="D4" s="6"/>
      <c r="E4" s="6"/>
      <c r="F4" s="6"/>
      <c r="G4" s="6"/>
      <c r="H4" s="6"/>
      <c r="I4" s="6"/>
      <c r="J4" s="6"/>
    </row>
    <row r="5" spans="1:12" x14ac:dyDescent="0.3">
      <c r="A5" t="s">
        <v>63</v>
      </c>
      <c r="C5" s="8"/>
      <c r="D5" s="6"/>
      <c r="E5" s="6"/>
      <c r="F5" s="6"/>
      <c r="G5" s="6"/>
      <c r="H5" s="6"/>
      <c r="I5" s="6"/>
      <c r="J5" s="6"/>
    </row>
    <row r="6" spans="1:12" x14ac:dyDescent="0.3">
      <c r="A6" t="s">
        <v>64</v>
      </c>
      <c r="B6" s="12">
        <v>0.45</v>
      </c>
      <c r="C6" s="8"/>
      <c r="D6" s="6"/>
      <c r="E6" s="6"/>
      <c r="F6" s="6"/>
      <c r="G6" s="6"/>
      <c r="H6" s="6"/>
      <c r="I6" s="6"/>
      <c r="J6" s="6"/>
    </row>
    <row r="7" spans="1:12" x14ac:dyDescent="0.3">
      <c r="A7" t="s">
        <v>65</v>
      </c>
      <c r="C7" s="8"/>
      <c r="D7" s="6"/>
      <c r="I7" s="6"/>
      <c r="J7" s="6"/>
    </row>
    <row r="8" spans="1:12" x14ac:dyDescent="0.3">
      <c r="A8" t="s">
        <v>66</v>
      </c>
      <c r="B8" s="12"/>
      <c r="C8" s="8"/>
      <c r="I8" s="6"/>
      <c r="J8" s="6"/>
      <c r="K8"/>
    </row>
    <row r="9" spans="1:12" x14ac:dyDescent="0.3">
      <c r="A9" t="s">
        <v>67</v>
      </c>
      <c r="C9" s="8"/>
      <c r="F9" s="3"/>
      <c r="K9"/>
    </row>
    <row r="10" spans="1:12" x14ac:dyDescent="0.3">
      <c r="C10" s="8"/>
      <c r="D10" s="6"/>
      <c r="I10" s="6"/>
      <c r="J10" s="6"/>
    </row>
    <row r="11" spans="1:12" x14ac:dyDescent="0.3">
      <c r="C11" s="8"/>
      <c r="D11" s="6"/>
      <c r="I11" s="6"/>
      <c r="J11" s="6"/>
    </row>
    <row r="12" spans="1:12" x14ac:dyDescent="0.3">
      <c r="C12" s="8"/>
      <c r="D12" s="6"/>
      <c r="I12" s="6"/>
      <c r="J12" s="6"/>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workbookViewId="0">
      <selection activeCell="F14" sqref="F14"/>
    </sheetView>
  </sheetViews>
  <sheetFormatPr defaultRowHeight="14.4" x14ac:dyDescent="0.3"/>
  <cols>
    <col min="1" max="1" width="36" bestFit="1" customWidth="1"/>
    <col min="2" max="2" width="22.77734375" style="5" customWidth="1"/>
  </cols>
  <sheetData>
    <row r="1" spans="1:5" x14ac:dyDescent="0.3">
      <c r="A1" s="4" t="s">
        <v>13</v>
      </c>
      <c r="B1" s="11" t="s">
        <v>19</v>
      </c>
    </row>
    <row r="2" spans="1:5" x14ac:dyDescent="0.3">
      <c r="A2" s="6" t="s">
        <v>50</v>
      </c>
    </row>
    <row r="3" spans="1:5" x14ac:dyDescent="0.3">
      <c r="A3" t="s">
        <v>24</v>
      </c>
    </row>
    <row r="4" spans="1:5" x14ac:dyDescent="0.3">
      <c r="A4" t="s">
        <v>9</v>
      </c>
    </row>
    <row r="5" spans="1:5" x14ac:dyDescent="0.3">
      <c r="A5" t="s">
        <v>10</v>
      </c>
    </row>
    <row r="6" spans="1:5" x14ac:dyDescent="0.3">
      <c r="A6" t="s">
        <v>23</v>
      </c>
    </row>
    <row r="7" spans="1:5" x14ac:dyDescent="0.3">
      <c r="A7" t="s">
        <v>21</v>
      </c>
    </row>
    <row r="8" spans="1:5" x14ac:dyDescent="0.3">
      <c r="A8" t="s">
        <v>22</v>
      </c>
    </row>
    <row r="9" spans="1:5" x14ac:dyDescent="0.3">
      <c r="A9" s="6" t="s">
        <v>32</v>
      </c>
      <c r="E9" s="5"/>
    </row>
    <row r="10" spans="1:5" x14ac:dyDescent="0.3">
      <c r="A10" s="6" t="s">
        <v>29</v>
      </c>
      <c r="B10" s="8" t="s">
        <v>75</v>
      </c>
      <c r="E10" s="5"/>
    </row>
    <row r="11" spans="1:5" x14ac:dyDescent="0.3">
      <c r="A11" t="s">
        <v>38</v>
      </c>
      <c r="B11" s="8" t="s">
        <v>75</v>
      </c>
      <c r="E11" s="5"/>
    </row>
    <row r="12" spans="1:5" x14ac:dyDescent="0.3">
      <c r="A12" t="s">
        <v>39</v>
      </c>
      <c r="E12" s="5"/>
    </row>
    <row r="13" spans="1:5" x14ac:dyDescent="0.3">
      <c r="A13" t="s">
        <v>49</v>
      </c>
    </row>
    <row r="14" spans="1:5" x14ac:dyDescent="0.3">
      <c r="A14" t="s">
        <v>44</v>
      </c>
    </row>
    <row r="15" spans="1:5" x14ac:dyDescent="0.3">
      <c r="A15" t="s">
        <v>45</v>
      </c>
    </row>
    <row r="16" spans="1:5" x14ac:dyDescent="0.3">
      <c r="A16" t="s">
        <v>37</v>
      </c>
    </row>
    <row r="17" spans="1:2" x14ac:dyDescent="0.3">
      <c r="A17" t="s">
        <v>56</v>
      </c>
    </row>
    <row r="18" spans="1:2" x14ac:dyDescent="0.3">
      <c r="A18" t="s">
        <v>57</v>
      </c>
    </row>
    <row r="19" spans="1:2" x14ac:dyDescent="0.3">
      <c r="A19" t="s">
        <v>42</v>
      </c>
      <c r="B19" s="12"/>
    </row>
    <row r="20" spans="1:2" x14ac:dyDescent="0.3">
      <c r="A20" s="14" t="s">
        <v>55</v>
      </c>
      <c r="B20" s="15"/>
    </row>
    <row r="21" spans="1:2" x14ac:dyDescent="0.3">
      <c r="A21" s="14" t="s">
        <v>53</v>
      </c>
      <c r="B21" s="15"/>
    </row>
    <row r="22" spans="1:2" x14ac:dyDescent="0.3">
      <c r="A22" s="14" t="s">
        <v>54</v>
      </c>
      <c r="B22" s="16"/>
    </row>
    <row r="23" spans="1:2" x14ac:dyDescent="0.3">
      <c r="A23" t="s">
        <v>51</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Item Bank</vt:lpstr>
      <vt:lpstr>Test Section Design</vt:lpstr>
      <vt:lpstr>A</vt:lpstr>
      <vt:lpstr>B</vt:lpstr>
      <vt:lpstr>C</vt:lpstr>
      <vt:lpstr>D</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2026-04-25T23:48:02Z</dcterms:modified>
</cp:coreProperties>
</file>